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Model Engine" sheetId="3" state="visible" r:id="rId3"/>
    <sheet xmlns:r="http://schemas.openxmlformats.org/officeDocument/2006/relationships" name="Returns &amp;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_-[$₹-409]* #,##0.00&quot; Cr&quot;_-;[Red]-[$₹-409]* #,##0.00&quot; Cr&quot;_-;_-[$₹-409]* &quot;-&quot;?? &quot; Cr&quot;_-"/>
    <numFmt numFmtId="165" formatCode="0&quot; mo&quot;"/>
    <numFmt numFmtId="166" formatCode="0.00&quot;x&quot;"/>
    <numFmt numFmtId="167" formatCode="yyyy-mm-dd"/>
    <numFmt numFmtId="168" formatCode="#,##0&quot; sqft&quot;"/>
    <numFmt numFmtId="169" formatCode="0.0%"/>
    <numFmt numFmtId="170" formatCode="+0.0%;-0.0%;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70C0"/>
      <sz val="10"/>
    </font>
    <font>
      <name val="Arial"/>
      <color rgb="00595959"/>
      <sz val="9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006100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/>
    </xf>
    <xf numFmtId="10" fontId="9" fillId="6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10" fontId="9" fillId="6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166" fontId="9" fillId="6" borderId="0" applyAlignment="1" pivotButton="0" quotePrefix="0" xfId="0">
      <alignment horizontal="right" vertical="center"/>
    </xf>
    <xf numFmtId="168" fontId="9" fillId="6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0" fontId="8" fillId="7" borderId="0" pivotButton="0" quotePrefix="0" xfId="0"/>
    <xf numFmtId="17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0" fontId="3" fillId="0" borderId="0" pivotButton="0" quotePrefix="0" xfId="0"/>
    <xf numFmtId="3" fontId="4" fillId="4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7" fontId="4" fillId="4" borderId="1" applyAlignment="1" pivotButton="0" quotePrefix="0" xfId="0">
      <alignment horizontal="right" vertical="center"/>
    </xf>
    <xf numFmtId="0" fontId="3" fillId="6" borderId="0" applyAlignment="1" pivotButton="0" quotePrefix="0" xfId="0">
      <alignment horizontal="right" vertical="center"/>
    </xf>
    <xf numFmtId="10" fontId="3" fillId="6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10" fontId="3" fillId="0" borderId="0" applyAlignment="1" pivotButton="0" quotePrefix="0" xfId="0">
      <alignment horizontal="right" vertical="center"/>
    </xf>
    <xf numFmtId="0" fontId="8" fillId="0" borderId="0" pivotButton="0" quotePrefix="0" xfId="0"/>
    <xf numFmtId="164" fontId="3" fillId="7" borderId="0" applyAlignment="1" pivotButton="0" quotePrefix="0" xfId="0">
      <alignment horizontal="right" vertical="center"/>
    </xf>
    <xf numFmtId="0" fontId="7" fillId="5" borderId="0" pivotButton="0" quotePrefix="0" xfId="0"/>
    <xf numFmtId="3" fontId="7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right" vertical="center"/>
    </xf>
    <xf numFmtId="17" fontId="3" fillId="0" borderId="0" applyAlignment="1" pivotButton="0" quotePrefix="0" xfId="0">
      <alignment horizontal="right" vertical="center"/>
    </xf>
    <xf numFmtId="169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164" fontId="3" fillId="6" borderId="0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70" fontId="4" fillId="4" borderId="0" applyAlignment="1" pivotButton="0" quotePrefix="0" xfId="0">
      <alignment horizontal="right" vertical="center"/>
    </xf>
    <xf numFmtId="0" fontId="6" fillId="0" borderId="0" pivotButton="0" quotePrefix="0" xfId="0"/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Cash Flow (₹ Cr)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'Dashboard'!A64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'Dashboard'!$B$64:$A$64</f>
            </numRef>
          </val>
        </ser>
        <ser>
          <idx val="1"/>
          <order val="1"/>
          <tx>
            <strRef>
              <f>'Dashboard'!B64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'Dashboard'!$C$64:$B$64</f>
            </numRef>
          </val>
        </ser>
        <ser>
          <idx val="2"/>
          <order val="2"/>
          <tx>
            <strRef>
              <f>'Dashboard'!C64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'Dashboard'!$D$64:$C$64</f>
            </numRef>
          </val>
        </ser>
        <ser>
          <idx val="3"/>
          <order val="3"/>
          <tx>
            <strRef>
              <f>'Dashboard'!D64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'Dashboard'!$E$64:$D$64</f>
            </numRef>
          </val>
        </ser>
        <ser>
          <idx val="4"/>
          <order val="4"/>
          <tx>
            <strRef>
              <f>'Dashboard'!E64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'Dashboard'!$F$64:$E$64</f>
            </numRef>
          </val>
        </ser>
        <ser>
          <idx val="5"/>
          <order val="5"/>
          <tx>
            <strRef>
              <f>'Dashboard'!F64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'Dashboard'!$G$64:$F$64</f>
            </numRef>
          </val>
        </ser>
        <ser>
          <idx val="6"/>
          <order val="6"/>
          <tx>
            <strRef>
              <f>'Dashboard'!G64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'Dashboard'!$H$64:$G$64</f>
            </numRef>
          </val>
        </ser>
        <ser>
          <idx val="7"/>
          <order val="7"/>
          <tx>
            <strRef>
              <f>'Dashboard'!H64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'Dashboard'!$I$64:$H$64</f>
            </numRef>
          </val>
        </ser>
        <ser>
          <idx val="8"/>
          <order val="8"/>
          <tx>
            <strRef>
              <f>'Dashboard'!I64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'Dashboard'!$J$64:$I$64</f>
            </numRef>
          </val>
        </ser>
        <ser>
          <idx val="9"/>
          <order val="9"/>
          <tx>
            <strRef>
              <f>'Dashboard'!J64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'Dashboard'!$K$64:$J$64</f>
            </numRef>
          </val>
        </ser>
        <ser>
          <idx val="10"/>
          <order val="10"/>
          <tx>
            <strRef>
              <f>'Dashboard'!K64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'Dashboard'!$L$64:$K$64</f>
            </numRef>
          </val>
        </ser>
        <ser>
          <idx val="11"/>
          <order val="11"/>
          <tx>
            <strRef>
              <f>'Dashboard'!L64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'Dashboard'!$M$64:$L$64</f>
            </numRef>
          </val>
        </ser>
        <ser>
          <idx val="12"/>
          <order val="12"/>
          <tx>
            <strRef>
              <f>'Dashboard'!M64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'Dashboard'!$N$64:$M$64</f>
            </numRef>
          </val>
        </ser>
        <ser>
          <idx val="13"/>
          <order val="13"/>
          <tx>
            <strRef>
              <f>'Dashboard'!N64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'Dashboard'!$O$64:$N$64</f>
            </numRef>
          </val>
        </ser>
        <ser>
          <idx val="14"/>
          <order val="14"/>
          <tx>
            <strRef>
              <f>'Dashboard'!O64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'Dashboard'!$P$64:$O$64</f>
            </numRef>
          </val>
        </ser>
        <ser>
          <idx val="15"/>
          <order val="15"/>
          <tx>
            <strRef>
              <f>'Dashboard'!P64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'Dashboard'!$Q$64:$P$64</f>
            </numRef>
          </val>
        </ser>
        <ser>
          <idx val="16"/>
          <order val="16"/>
          <tx>
            <strRef>
              <f>'Dashboard'!Q64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'Dashboard'!$R$64:$Q$64</f>
            </numRef>
          </val>
        </ser>
        <ser>
          <idx val="17"/>
          <order val="17"/>
          <tx>
            <strRef>
              <f>'Dashboard'!R64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'Dashboard'!$S$64:$R$64</f>
            </numRef>
          </val>
        </ser>
        <ser>
          <idx val="18"/>
          <order val="18"/>
          <tx>
            <strRef>
              <f>'Dashboard'!S64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'Dashboard'!$T$64:$S$64</f>
            </numRef>
          </val>
        </ser>
        <ser>
          <idx val="19"/>
          <order val="19"/>
          <tx>
            <strRef>
              <f>'Dashboard'!T64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'Dashboard'!$U$64:$T$64</f>
            </numRef>
          </val>
        </ser>
        <ser>
          <idx val="20"/>
          <order val="20"/>
          <tx>
            <strRef>
              <f>'Dashboard'!U64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'Dashboard'!$V$64:$U$64</f>
            </numRef>
          </val>
        </ser>
        <ser>
          <idx val="21"/>
          <order val="21"/>
          <tx>
            <strRef>
              <f>'Dashboard'!A65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'Dashboard'!$B$65:$A$65</f>
            </numRef>
          </val>
        </ser>
        <ser>
          <idx val="22"/>
          <order val="22"/>
          <tx>
            <strRef>
              <f>'Dashboard'!B65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'Dashboard'!$C$65:$B$65</f>
            </numRef>
          </val>
        </ser>
        <ser>
          <idx val="23"/>
          <order val="23"/>
          <tx>
            <strRef>
              <f>'Dashboard'!C65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'Dashboard'!$D$65:$C$65</f>
            </numRef>
          </val>
        </ser>
        <ser>
          <idx val="24"/>
          <order val="24"/>
          <tx>
            <strRef>
              <f>'Dashboard'!D65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'Dashboard'!$E$65:$D$65</f>
            </numRef>
          </val>
        </ser>
        <ser>
          <idx val="25"/>
          <order val="25"/>
          <tx>
            <strRef>
              <f>'Dashboard'!E65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'Dashboard'!$F$65:$E$65</f>
            </numRef>
          </val>
        </ser>
        <ser>
          <idx val="26"/>
          <order val="26"/>
          <tx>
            <strRef>
              <f>'Dashboard'!F65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'Dashboard'!$G$65:$F$65</f>
            </numRef>
          </val>
        </ser>
        <ser>
          <idx val="27"/>
          <order val="27"/>
          <tx>
            <strRef>
              <f>'Dashboard'!G65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'Dashboard'!$H$65:$G$65</f>
            </numRef>
          </val>
        </ser>
        <ser>
          <idx val="28"/>
          <order val="28"/>
          <tx>
            <strRef>
              <f>'Dashboard'!H65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'Dashboard'!$I$65:$H$65</f>
            </numRef>
          </val>
        </ser>
        <ser>
          <idx val="29"/>
          <order val="29"/>
          <tx>
            <strRef>
              <f>'Dashboard'!I65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'Dashboard'!$J$65:$I$65</f>
            </numRef>
          </val>
        </ser>
        <ser>
          <idx val="30"/>
          <order val="30"/>
          <tx>
            <strRef>
              <f>'Dashboard'!J65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'Dashboard'!$K$65:$J$65</f>
            </numRef>
          </val>
        </ser>
        <ser>
          <idx val="31"/>
          <order val="31"/>
          <tx>
            <strRef>
              <f>'Dashboard'!K65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'Dashboard'!$L$65:$K$65</f>
            </numRef>
          </val>
        </ser>
        <ser>
          <idx val="32"/>
          <order val="32"/>
          <tx>
            <strRef>
              <f>'Dashboard'!L65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'Dashboard'!$M$65:$L$65</f>
            </numRef>
          </val>
        </ser>
        <ser>
          <idx val="33"/>
          <order val="33"/>
          <tx>
            <strRef>
              <f>'Dashboard'!M65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'Dashboard'!$N$65:$M$65</f>
            </numRef>
          </val>
        </ser>
        <ser>
          <idx val="34"/>
          <order val="34"/>
          <tx>
            <strRef>
              <f>'Dashboard'!N65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'Dashboard'!$O$65:$N$65</f>
            </numRef>
          </val>
        </ser>
        <ser>
          <idx val="35"/>
          <order val="35"/>
          <tx>
            <strRef>
              <f>'Dashboard'!O65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'Dashboard'!$P$65:$O$65</f>
            </numRef>
          </val>
        </ser>
        <ser>
          <idx val="36"/>
          <order val="36"/>
          <tx>
            <strRef>
              <f>'Dashboard'!P65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'Dashboard'!$Q$65:$P$65</f>
            </numRef>
          </val>
        </ser>
        <ser>
          <idx val="37"/>
          <order val="37"/>
          <tx>
            <strRef>
              <f>'Dashboard'!Q65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'Dashboard'!$R$65:$Q$65</f>
            </numRef>
          </val>
        </ser>
        <ser>
          <idx val="38"/>
          <order val="38"/>
          <tx>
            <strRef>
              <f>'Dashboard'!R65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'Dashboard'!$S$65:$R$65</f>
            </numRef>
          </val>
        </ser>
        <ser>
          <idx val="39"/>
          <order val="39"/>
          <tx>
            <strRef>
              <f>'Dashboard'!S65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'Dashboard'!$T$65:$S$65</f>
            </numRef>
          </val>
        </ser>
        <ser>
          <idx val="40"/>
          <order val="40"/>
          <tx>
            <strRef>
              <f>'Dashboard'!T65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'Dashboard'!$U$65:$T$65</f>
            </numRef>
          </val>
        </ser>
        <ser>
          <idx val="41"/>
          <order val="41"/>
          <tx>
            <strRef>
              <f>'Dashboard'!U65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'Dashboard'!$B$63:$U$63</f>
            </numRef>
          </cat>
          <val>
            <numRef>
              <f>'Dashboard'!$V$65:$U$65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 End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Cr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CF (₹ Cr)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'Dashboard'!A66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'Dashboard'!$B$63:$U$63</f>
            </numRef>
          </cat>
          <val>
            <numRef>
              <f>'Dashboard'!$B$66:$A$66</f>
            </numRef>
          </val>
        </ser>
        <ser>
          <idx val="1"/>
          <order val="1"/>
          <tx>
            <strRef>
              <f>'Dashboard'!B66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'Dashboard'!$B$63:$U$63</f>
            </numRef>
          </cat>
          <val>
            <numRef>
              <f>'Dashboard'!$C$66:$B$66</f>
            </numRef>
          </val>
        </ser>
        <ser>
          <idx val="2"/>
          <order val="2"/>
          <tx>
            <strRef>
              <f>'Dashboard'!C66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'Dashboard'!$B$63:$U$63</f>
            </numRef>
          </cat>
          <val>
            <numRef>
              <f>'Dashboard'!$D$66:$C$66</f>
            </numRef>
          </val>
        </ser>
        <ser>
          <idx val="3"/>
          <order val="3"/>
          <tx>
            <strRef>
              <f>'Dashboard'!D66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'Dashboard'!$B$63:$U$63</f>
            </numRef>
          </cat>
          <val>
            <numRef>
              <f>'Dashboard'!$E$66:$D$66</f>
            </numRef>
          </val>
        </ser>
        <ser>
          <idx val="4"/>
          <order val="4"/>
          <tx>
            <strRef>
              <f>'Dashboard'!E66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'Dashboard'!$B$63:$U$63</f>
            </numRef>
          </cat>
          <val>
            <numRef>
              <f>'Dashboard'!$F$66:$E$66</f>
            </numRef>
          </val>
        </ser>
        <ser>
          <idx val="5"/>
          <order val="5"/>
          <tx>
            <strRef>
              <f>'Dashboard'!F66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'Dashboard'!$B$63:$U$63</f>
            </numRef>
          </cat>
          <val>
            <numRef>
              <f>'Dashboard'!$G$66:$F$66</f>
            </numRef>
          </val>
        </ser>
        <ser>
          <idx val="6"/>
          <order val="6"/>
          <tx>
            <strRef>
              <f>'Dashboard'!G66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'Dashboard'!$B$63:$U$63</f>
            </numRef>
          </cat>
          <val>
            <numRef>
              <f>'Dashboard'!$H$66:$G$66</f>
            </numRef>
          </val>
        </ser>
        <ser>
          <idx val="7"/>
          <order val="7"/>
          <tx>
            <strRef>
              <f>'Dashboard'!H66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'Dashboard'!$B$63:$U$63</f>
            </numRef>
          </cat>
          <val>
            <numRef>
              <f>'Dashboard'!$I$66:$H$66</f>
            </numRef>
          </val>
        </ser>
        <ser>
          <idx val="8"/>
          <order val="8"/>
          <tx>
            <strRef>
              <f>'Dashboard'!I66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'Dashboard'!$B$63:$U$63</f>
            </numRef>
          </cat>
          <val>
            <numRef>
              <f>'Dashboard'!$J$66:$I$66</f>
            </numRef>
          </val>
        </ser>
        <ser>
          <idx val="9"/>
          <order val="9"/>
          <tx>
            <strRef>
              <f>'Dashboard'!J66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'Dashboard'!$B$63:$U$63</f>
            </numRef>
          </cat>
          <val>
            <numRef>
              <f>'Dashboard'!$K$66:$J$66</f>
            </numRef>
          </val>
        </ser>
        <ser>
          <idx val="10"/>
          <order val="10"/>
          <tx>
            <strRef>
              <f>'Dashboard'!K66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'Dashboard'!$B$63:$U$63</f>
            </numRef>
          </cat>
          <val>
            <numRef>
              <f>'Dashboard'!$L$66:$K$66</f>
            </numRef>
          </val>
        </ser>
        <ser>
          <idx val="11"/>
          <order val="11"/>
          <tx>
            <strRef>
              <f>'Dashboard'!L66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'Dashboard'!$B$63:$U$63</f>
            </numRef>
          </cat>
          <val>
            <numRef>
              <f>'Dashboard'!$M$66:$L$66</f>
            </numRef>
          </val>
        </ser>
        <ser>
          <idx val="12"/>
          <order val="12"/>
          <tx>
            <strRef>
              <f>'Dashboard'!M66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'Dashboard'!$B$63:$U$63</f>
            </numRef>
          </cat>
          <val>
            <numRef>
              <f>'Dashboard'!$N$66:$M$66</f>
            </numRef>
          </val>
        </ser>
        <ser>
          <idx val="13"/>
          <order val="13"/>
          <tx>
            <strRef>
              <f>'Dashboard'!N66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'Dashboard'!$B$63:$U$63</f>
            </numRef>
          </cat>
          <val>
            <numRef>
              <f>'Dashboard'!$O$66:$N$66</f>
            </numRef>
          </val>
        </ser>
        <ser>
          <idx val="14"/>
          <order val="14"/>
          <tx>
            <strRef>
              <f>'Dashboard'!O66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'Dashboard'!$B$63:$U$63</f>
            </numRef>
          </cat>
          <val>
            <numRef>
              <f>'Dashboard'!$P$66:$O$66</f>
            </numRef>
          </val>
        </ser>
        <ser>
          <idx val="15"/>
          <order val="15"/>
          <tx>
            <strRef>
              <f>'Dashboard'!P66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'Dashboard'!$B$63:$U$63</f>
            </numRef>
          </cat>
          <val>
            <numRef>
              <f>'Dashboard'!$Q$66:$P$66</f>
            </numRef>
          </val>
        </ser>
        <ser>
          <idx val="16"/>
          <order val="16"/>
          <tx>
            <strRef>
              <f>'Dashboard'!Q66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'Dashboard'!$B$63:$U$63</f>
            </numRef>
          </cat>
          <val>
            <numRef>
              <f>'Dashboard'!$R$66:$Q$66</f>
            </numRef>
          </val>
        </ser>
        <ser>
          <idx val="17"/>
          <order val="17"/>
          <tx>
            <strRef>
              <f>'Dashboard'!R66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'Dashboard'!$B$63:$U$63</f>
            </numRef>
          </cat>
          <val>
            <numRef>
              <f>'Dashboard'!$S$66:$R$66</f>
            </numRef>
          </val>
        </ser>
        <ser>
          <idx val="18"/>
          <order val="18"/>
          <tx>
            <strRef>
              <f>'Dashboard'!S66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'Dashboard'!$B$63:$U$63</f>
            </numRef>
          </cat>
          <val>
            <numRef>
              <f>'Dashboard'!$T$66:$S$66</f>
            </numRef>
          </val>
        </ser>
        <ser>
          <idx val="19"/>
          <order val="19"/>
          <tx>
            <strRef>
              <f>'Dashboard'!T66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'Dashboard'!$B$63:$U$63</f>
            </numRef>
          </cat>
          <val>
            <numRef>
              <f>'Dashboard'!$U$66:$T$66</f>
            </numRef>
          </val>
        </ser>
        <ser>
          <idx val="20"/>
          <order val="20"/>
          <tx>
            <strRef>
              <f>'Dashboard'!U66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'Dashboard'!$B$63:$U$63</f>
            </numRef>
          </cat>
          <val>
            <numRef>
              <f>'Dashboard'!$V$66:$U$66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Cr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vs Revenue (₹ Cr)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'Dashboard'!$A$68:$A$69</f>
            </numRef>
          </cat>
          <val>
            <numRef>
              <f>'Dashboard'!$B$68:$B$69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Sources of Funds (₹ Cr)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'Dashboard'!$A$71:$A$72</f>
            </numRef>
          </cat>
          <val>
            <numRef>
              <f>'Dashboard'!$B$71:$B$72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Uses of Funds (₹ Cr)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'Dashboard'!$A$74:$A$76</f>
            </numRef>
          </cat>
          <val>
            <numRef>
              <f>'Dashboard'!$B$74:$B$76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28</row>
      <rowOff>0</rowOff>
    </from>
    <ext cx="79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45</row>
      <rowOff>0</rowOff>
    </from>
    <ext cx="360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45</row>
      <rowOff>0</rowOff>
    </from>
    <ext cx="3600000" cy="21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10</col>
      <colOff>0</colOff>
      <row>45</row>
      <rowOff>0</rowOff>
    </from>
    <ext cx="3600000" cy="21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6" customHeight="1">
      <c r="A1" s="1" t="inlineStr">
        <is>
          <t>REDIP — Deal Dashboard</t>
        </is>
      </c>
    </row>
    <row r="3">
      <c r="A3" s="2" t="inlineStr">
        <is>
          <t>Scenario:</t>
        </is>
      </c>
      <c r="B3" s="3">
        <f>'Model Engine'!B4</f>
        <v/>
      </c>
      <c r="C3" s="2" t="inlineStr">
        <is>
          <t>Hurdle Rate:</t>
        </is>
      </c>
      <c r="D3" s="4">
        <f>Inputs!B49</f>
        <v/>
      </c>
      <c r="E3" s="5" t="inlineStr">
        <is>
          <t>Period End Dates →</t>
        </is>
      </c>
      <c r="F3" s="6">
        <f>TEXT('Model Engine'!$B$30,"mmm-yy")&amp;"  …  "&amp;TEXT('Model Engine'!$U$30,"mmm-yy")</f>
        <v/>
      </c>
    </row>
    <row r="5">
      <c r="A5" s="7" t="inlineStr">
        <is>
          <t>Unlevered IRR</t>
        </is>
      </c>
      <c r="B5" s="8">
        <f>'Returns &amp; Sensitivity'!B4</f>
        <v/>
      </c>
      <c r="C5" s="7" t="inlineStr">
        <is>
          <t>Levered IRR</t>
        </is>
      </c>
      <c r="D5" s="8">
        <f>'Returns &amp; Sensitivity'!B5</f>
        <v/>
      </c>
      <c r="E5" s="7" t="inlineStr">
        <is>
          <t>Equity Invested</t>
        </is>
      </c>
      <c r="F5" s="9">
        <f>'Returns &amp; Sensitivity'!B8</f>
        <v/>
      </c>
      <c r="G5" s="7" t="inlineStr">
        <is>
          <t>MOIC (Levered)</t>
        </is>
      </c>
      <c r="H5" s="10">
        <f>'Returns &amp; Sensitivity'!B11</f>
        <v/>
      </c>
    </row>
    <row r="7">
      <c r="A7" s="7" t="inlineStr">
        <is>
          <t>Project Profit</t>
        </is>
      </c>
      <c r="B7" s="9">
        <f>'Returns &amp; Sensitivity'!B13</f>
        <v/>
      </c>
      <c r="C7" s="7" t="inlineStr">
        <is>
          <t>Profit Margin</t>
        </is>
      </c>
      <c r="D7" s="8">
        <f>'Returns &amp; Sensitivity'!B14</f>
        <v/>
      </c>
      <c r="E7" s="7" t="inlineStr">
        <is>
          <t>Unlevered NPV</t>
        </is>
      </c>
      <c r="F7" s="9">
        <f>'Returns &amp; Sensitivity'!B6</f>
        <v/>
      </c>
      <c r="G7" s="7" t="inlineStr">
        <is>
          <t>Levered NPV</t>
        </is>
      </c>
      <c r="H7" s="9">
        <f>'Returns &amp; Sensitivity'!B7</f>
        <v/>
      </c>
    </row>
    <row r="9">
      <c r="A9" s="7" t="inlineStr">
        <is>
          <t>Total Project Cost</t>
        </is>
      </c>
      <c r="B9" s="9">
        <f>'Model Engine'!B24</f>
        <v/>
      </c>
      <c r="C9" s="7" t="inlineStr">
        <is>
          <t>Max Loan (LTC)</t>
        </is>
      </c>
      <c r="D9" s="9">
        <f>'Model Engine'!B25</f>
        <v/>
      </c>
      <c r="E9" s="7" t="inlineStr">
        <is>
          <t>Gross Revenue</t>
        </is>
      </c>
      <c r="F9" s="9">
        <f>SUM('Model Engine'!$B$49:$U$49)+SUM('Model Engine'!$B$47:$U$47)*-1+SUM('Model Engine'!$B$48:$U$48)*-1</f>
        <v/>
      </c>
      <c r="G9" s="7" t="inlineStr">
        <is>
          <t>Saleable Area</t>
        </is>
      </c>
      <c r="H9" s="11">
        <f>'Model Engine'!B12</f>
        <v/>
      </c>
    </row>
    <row r="62">
      <c r="A62" s="12" t="inlineStr">
        <is>
          <t>CHART DATA (linked from Engine — do not edit)</t>
        </is>
      </c>
    </row>
    <row r="63">
      <c r="A63" s="13" t="inlineStr">
        <is>
          <t>Period End</t>
        </is>
      </c>
      <c r="B63" s="14">
        <f>'Model Engine'!B30</f>
        <v/>
      </c>
      <c r="C63" s="14">
        <f>'Model Engine'!C30</f>
        <v/>
      </c>
      <c r="D63" s="14">
        <f>'Model Engine'!D30</f>
        <v/>
      </c>
      <c r="E63" s="14">
        <f>'Model Engine'!E30</f>
        <v/>
      </c>
      <c r="F63" s="14">
        <f>'Model Engine'!F30</f>
        <v/>
      </c>
      <c r="G63" s="14">
        <f>'Model Engine'!G30</f>
        <v/>
      </c>
      <c r="H63" s="14">
        <f>'Model Engine'!H30</f>
        <v/>
      </c>
      <c r="I63" s="14">
        <f>'Model Engine'!I30</f>
        <v/>
      </c>
      <c r="J63" s="14">
        <f>'Model Engine'!J30</f>
        <v/>
      </c>
      <c r="K63" s="14">
        <f>'Model Engine'!K30</f>
        <v/>
      </c>
      <c r="L63" s="14">
        <f>'Model Engine'!L30</f>
        <v/>
      </c>
      <c r="M63" s="14">
        <f>'Model Engine'!M30</f>
        <v/>
      </c>
      <c r="N63" s="14">
        <f>'Model Engine'!N30</f>
        <v/>
      </c>
      <c r="O63" s="14">
        <f>'Model Engine'!O30</f>
        <v/>
      </c>
      <c r="P63" s="14">
        <f>'Model Engine'!P30</f>
        <v/>
      </c>
      <c r="Q63" s="14">
        <f>'Model Engine'!Q30</f>
        <v/>
      </c>
      <c r="R63" s="14">
        <f>'Model Engine'!R30</f>
        <v/>
      </c>
      <c r="S63" s="14">
        <f>'Model Engine'!S30</f>
        <v/>
      </c>
      <c r="T63" s="14">
        <f>'Model Engine'!T30</f>
        <v/>
      </c>
      <c r="U63" s="14">
        <f>'Model Engine'!U30</f>
        <v/>
      </c>
    </row>
    <row r="64">
      <c r="A64" s="13" t="inlineStr">
        <is>
          <t>Unlev CF</t>
        </is>
      </c>
      <c r="B64" s="15">
        <f>'Model Engine'!B51</f>
        <v/>
      </c>
      <c r="C64" s="15">
        <f>'Model Engine'!C51</f>
        <v/>
      </c>
      <c r="D64" s="15">
        <f>'Model Engine'!D51</f>
        <v/>
      </c>
      <c r="E64" s="15">
        <f>'Model Engine'!E51</f>
        <v/>
      </c>
      <c r="F64" s="15">
        <f>'Model Engine'!F51</f>
        <v/>
      </c>
      <c r="G64" s="15">
        <f>'Model Engine'!G51</f>
        <v/>
      </c>
      <c r="H64" s="15">
        <f>'Model Engine'!H51</f>
        <v/>
      </c>
      <c r="I64" s="15">
        <f>'Model Engine'!I51</f>
        <v/>
      </c>
      <c r="J64" s="15">
        <f>'Model Engine'!J51</f>
        <v/>
      </c>
      <c r="K64" s="15">
        <f>'Model Engine'!K51</f>
        <v/>
      </c>
      <c r="L64" s="15">
        <f>'Model Engine'!L51</f>
        <v/>
      </c>
      <c r="M64" s="15">
        <f>'Model Engine'!M51</f>
        <v/>
      </c>
      <c r="N64" s="15">
        <f>'Model Engine'!N51</f>
        <v/>
      </c>
      <c r="O64" s="15">
        <f>'Model Engine'!O51</f>
        <v/>
      </c>
      <c r="P64" s="15">
        <f>'Model Engine'!P51</f>
        <v/>
      </c>
      <c r="Q64" s="15">
        <f>'Model Engine'!Q51</f>
        <v/>
      </c>
      <c r="R64" s="15">
        <f>'Model Engine'!R51</f>
        <v/>
      </c>
      <c r="S64" s="15">
        <f>'Model Engine'!S51</f>
        <v/>
      </c>
      <c r="T64" s="15">
        <f>'Model Engine'!T51</f>
        <v/>
      </c>
      <c r="U64" s="15">
        <f>'Model Engine'!U51</f>
        <v/>
      </c>
    </row>
    <row r="65">
      <c r="A65" s="13" t="inlineStr">
        <is>
          <t>Equity CF</t>
        </is>
      </c>
      <c r="B65" s="15">
        <f>'Model Engine'!B60</f>
        <v/>
      </c>
      <c r="C65" s="15">
        <f>'Model Engine'!C60</f>
        <v/>
      </c>
      <c r="D65" s="15">
        <f>'Model Engine'!D60</f>
        <v/>
      </c>
      <c r="E65" s="15">
        <f>'Model Engine'!E60</f>
        <v/>
      </c>
      <c r="F65" s="15">
        <f>'Model Engine'!F60</f>
        <v/>
      </c>
      <c r="G65" s="15">
        <f>'Model Engine'!G60</f>
        <v/>
      </c>
      <c r="H65" s="15">
        <f>'Model Engine'!H60</f>
        <v/>
      </c>
      <c r="I65" s="15">
        <f>'Model Engine'!I60</f>
        <v/>
      </c>
      <c r="J65" s="15">
        <f>'Model Engine'!J60</f>
        <v/>
      </c>
      <c r="K65" s="15">
        <f>'Model Engine'!K60</f>
        <v/>
      </c>
      <c r="L65" s="15">
        <f>'Model Engine'!L60</f>
        <v/>
      </c>
      <c r="M65" s="15">
        <f>'Model Engine'!M60</f>
        <v/>
      </c>
      <c r="N65" s="15">
        <f>'Model Engine'!N60</f>
        <v/>
      </c>
      <c r="O65" s="15">
        <f>'Model Engine'!O60</f>
        <v/>
      </c>
      <c r="P65" s="15">
        <f>'Model Engine'!P60</f>
        <v/>
      </c>
      <c r="Q65" s="15">
        <f>'Model Engine'!Q60</f>
        <v/>
      </c>
      <c r="R65" s="15">
        <f>'Model Engine'!R60</f>
        <v/>
      </c>
      <c r="S65" s="15">
        <f>'Model Engine'!S60</f>
        <v/>
      </c>
      <c r="T65" s="15">
        <f>'Model Engine'!T60</f>
        <v/>
      </c>
      <c r="U65" s="15">
        <f>'Model Engine'!U60</f>
        <v/>
      </c>
    </row>
    <row r="66">
      <c r="A66" s="13" t="inlineStr">
        <is>
          <t>Cum Equity CF</t>
        </is>
      </c>
      <c r="B66" s="15">
        <f>'Model Engine'!B61</f>
        <v/>
      </c>
      <c r="C66" s="15">
        <f>'Model Engine'!C61</f>
        <v/>
      </c>
      <c r="D66" s="15">
        <f>'Model Engine'!D61</f>
        <v/>
      </c>
      <c r="E66" s="15">
        <f>'Model Engine'!E61</f>
        <v/>
      </c>
      <c r="F66" s="15">
        <f>'Model Engine'!F61</f>
        <v/>
      </c>
      <c r="G66" s="15">
        <f>'Model Engine'!G61</f>
        <v/>
      </c>
      <c r="H66" s="15">
        <f>'Model Engine'!H61</f>
        <v/>
      </c>
      <c r="I66" s="15">
        <f>'Model Engine'!I61</f>
        <v/>
      </c>
      <c r="J66" s="15">
        <f>'Model Engine'!J61</f>
        <v/>
      </c>
      <c r="K66" s="15">
        <f>'Model Engine'!K61</f>
        <v/>
      </c>
      <c r="L66" s="15">
        <f>'Model Engine'!L61</f>
        <v/>
      </c>
      <c r="M66" s="15">
        <f>'Model Engine'!M61</f>
        <v/>
      </c>
      <c r="N66" s="15">
        <f>'Model Engine'!N61</f>
        <v/>
      </c>
      <c r="O66" s="15">
        <f>'Model Engine'!O61</f>
        <v/>
      </c>
      <c r="P66" s="15">
        <f>'Model Engine'!P61</f>
        <v/>
      </c>
      <c r="Q66" s="15">
        <f>'Model Engine'!Q61</f>
        <v/>
      </c>
      <c r="R66" s="15">
        <f>'Model Engine'!R61</f>
        <v/>
      </c>
      <c r="S66" s="15">
        <f>'Model Engine'!S61</f>
        <v/>
      </c>
      <c r="T66" s="15">
        <f>'Model Engine'!T61</f>
        <v/>
      </c>
      <c r="U66" s="15">
        <f>'Model Engine'!U61</f>
        <v/>
      </c>
    </row>
    <row r="68">
      <c r="A68" s="13" t="inlineStr">
        <is>
          <t>Total Outflow</t>
        </is>
      </c>
      <c r="B68" s="16">
        <f>SUM('Model Engine'!$B$42:$U$42)</f>
        <v/>
      </c>
    </row>
    <row r="69">
      <c r="A69" s="13" t="inlineStr">
        <is>
          <t>Net Revenue</t>
        </is>
      </c>
      <c r="B69" s="16">
        <f>SUM('Model Engine'!$B$49:$U$49)</f>
        <v/>
      </c>
    </row>
    <row r="71">
      <c r="A71" s="17" t="inlineStr">
        <is>
          <t>Equity</t>
        </is>
      </c>
      <c r="B71" s="16">
        <f>'Returns &amp; Sensitivity'!B9</f>
        <v/>
      </c>
    </row>
    <row r="72">
      <c r="A72" s="17" t="inlineStr">
        <is>
          <t>Debt</t>
        </is>
      </c>
      <c r="B72" s="16">
        <f>SUM('Model Engine'!$B$53:$U$53)</f>
        <v/>
      </c>
    </row>
    <row r="74">
      <c r="A74" s="17" t="inlineStr">
        <is>
          <t>Land</t>
        </is>
      </c>
      <c r="B74" s="16">
        <f>'Model Engine'!B18</f>
        <v/>
      </c>
    </row>
    <row r="75">
      <c r="A75" s="17" t="inlineStr">
        <is>
          <t>Dev Cost</t>
        </is>
      </c>
      <c r="B75" s="16">
        <f>'Model Engine'!B23</f>
        <v/>
      </c>
    </row>
    <row r="76">
      <c r="A76" s="17" t="inlineStr">
        <is>
          <t>Interest</t>
        </is>
      </c>
      <c r="B76" s="16">
        <f>SUM('Model Engine'!$B$56:$U$56)</f>
        <v/>
      </c>
    </row>
  </sheetData>
  <mergeCells count="2">
    <mergeCell ref="A62:N6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4" customWidth="1" min="3" max="3"/>
    <col width="4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6" customHeight="1">
      <c r="A1" s="1" t="inlineStr">
        <is>
          <t>REDIP — Real Estate Development Model | INPUTS (all blue cells are hardcoded)</t>
        </is>
      </c>
    </row>
    <row r="3">
      <c r="A3" s="12" t="inlineStr">
        <is>
          <t>1. SCENARIO SELECTOR</t>
        </is>
      </c>
    </row>
    <row r="4">
      <c r="A4" s="6" t="inlineStr">
        <is>
          <t>Active Scenario  (1=Base, 2=Upside, 3=Downside)</t>
        </is>
      </c>
      <c r="B4" s="18" t="n">
        <v>1</v>
      </c>
      <c r="C4" s="19" t="inlineStr">
        <is>
          <t>#</t>
        </is>
      </c>
      <c r="D4" s="20" t="inlineStr">
        <is>
          <t>Engine picks scenario row via INDEX on this index.</t>
        </is>
      </c>
    </row>
    <row r="6">
      <c r="A6" s="21" t="inlineStr">
        <is>
          <t>Scenario</t>
        </is>
      </c>
      <c r="B6" s="22" t="inlineStr">
        <is>
          <t>Price Factor</t>
        </is>
      </c>
      <c r="C6" s="22" t="inlineStr">
        <is>
          <t>Cost Factor</t>
        </is>
      </c>
      <c r="D6" s="22" t="inlineStr">
        <is>
          <t>Exit Factor</t>
        </is>
      </c>
    </row>
    <row r="7">
      <c r="A7" s="6" t="inlineStr">
        <is>
          <t>Base</t>
        </is>
      </c>
      <c r="B7" s="23" t="n">
        <v>1</v>
      </c>
      <c r="C7" s="23" t="n">
        <v>1</v>
      </c>
      <c r="D7" s="23" t="n">
        <v>1</v>
      </c>
    </row>
    <row r="8">
      <c r="A8" s="6" t="inlineStr">
        <is>
          <t>Upside</t>
        </is>
      </c>
      <c r="B8" s="23" t="n">
        <v>1.1</v>
      </c>
      <c r="C8" s="23" t="n">
        <v>0.96</v>
      </c>
      <c r="D8" s="23" t="n">
        <v>1.05</v>
      </c>
    </row>
    <row r="9">
      <c r="A9" s="6" t="inlineStr">
        <is>
          <t>Downside</t>
        </is>
      </c>
      <c r="B9" s="23" t="n">
        <v>0.9</v>
      </c>
      <c r="C9" s="23" t="n">
        <v>1.07</v>
      </c>
      <c r="D9" s="23" t="n">
        <v>0.92</v>
      </c>
    </row>
    <row r="11">
      <c r="A11" s="12" t="inlineStr">
        <is>
          <t>2. LAND</t>
        </is>
      </c>
    </row>
    <row r="12">
      <c r="A12" s="6" t="inlineStr">
        <is>
          <t>Site Area</t>
        </is>
      </c>
      <c r="B12" s="24" t="n">
        <v>5</v>
      </c>
      <c r="C12" s="19" t="inlineStr">
        <is>
          <t>acres</t>
        </is>
      </c>
      <c r="D12" s="20" t="inlineStr">
        <is>
          <t>Raw land parcel area</t>
        </is>
      </c>
    </row>
    <row r="13">
      <c r="A13" s="6" t="inlineStr">
        <is>
          <t>Land Price</t>
        </is>
      </c>
      <c r="B13" s="25" t="n">
        <v>150</v>
      </c>
      <c r="C13" s="19" t="inlineStr">
        <is>
          <t>₹ Cr</t>
        </is>
      </c>
      <c r="D13" s="20" t="inlineStr">
        <is>
          <t>All-in land consideration</t>
        </is>
      </c>
    </row>
    <row r="14">
      <c r="A14" s="6" t="inlineStr">
        <is>
          <t>Stamp Duty + Registration</t>
        </is>
      </c>
      <c r="B14" s="23" t="n">
        <v>0.065</v>
      </c>
      <c r="C14" s="19" t="inlineStr">
        <is>
          <t>%</t>
        </is>
      </c>
      <c r="D14" s="20" t="inlineStr">
        <is>
          <t>Karnataka typical 5-6.6%</t>
        </is>
      </c>
    </row>
    <row r="15">
      <c r="A15" s="6" t="inlineStr">
        <is>
          <t>Land Acquisition Month</t>
        </is>
      </c>
      <c r="B15" s="26" t="n">
        <v>0</v>
      </c>
      <c r="C15" s="19" t="inlineStr">
        <is>
          <t>month</t>
        </is>
      </c>
      <c r="D15" s="20" t="inlineStr">
        <is>
          <t>0 = project start</t>
        </is>
      </c>
    </row>
    <row r="17">
      <c r="A17" s="12" t="inlineStr">
        <is>
          <t>3. DEVELOPMENT COSTS</t>
        </is>
      </c>
    </row>
    <row r="18">
      <c r="A18" s="6" t="inlineStr">
        <is>
          <t>FSI / FAR</t>
        </is>
      </c>
      <c r="B18" s="27" t="n">
        <v>2.5</v>
      </c>
      <c r="C18" s="19" t="inlineStr">
        <is>
          <t>x</t>
        </is>
      </c>
      <c r="D18" s="20" t="inlineStr">
        <is>
          <t>Built-up / Site</t>
        </is>
      </c>
    </row>
    <row r="19">
      <c r="A19" s="6" t="inlineStr">
        <is>
          <t>Saleable Efficiency</t>
        </is>
      </c>
      <c r="B19" s="23" t="n">
        <v>0.82</v>
      </c>
      <c r="C19" s="19" t="inlineStr">
        <is>
          <t>%</t>
        </is>
      </c>
      <c r="D19" s="20" t="inlineStr">
        <is>
          <t>Saleable / Built-up</t>
        </is>
      </c>
    </row>
    <row r="20">
      <c r="A20" s="6" t="inlineStr">
        <is>
          <t>Hard Construction Cost</t>
        </is>
      </c>
      <c r="B20" s="18" t="n">
        <v>3500</v>
      </c>
      <c r="C20" s="19" t="inlineStr">
        <is>
          <t>₹/sqft</t>
        </is>
      </c>
      <c r="D20" s="20" t="inlineStr">
        <is>
          <t>On built-up area</t>
        </is>
      </c>
    </row>
    <row r="21">
      <c r="A21" s="6" t="inlineStr">
        <is>
          <t>Soft Cost % of Hard</t>
        </is>
      </c>
      <c r="B21" s="23" t="n">
        <v>0.15</v>
      </c>
      <c r="C21" s="19" t="inlineStr">
        <is>
          <t>%</t>
        </is>
      </c>
      <c r="D21" s="20" t="inlineStr">
        <is>
          <t>Design, PMC, marketing setup</t>
        </is>
      </c>
    </row>
    <row r="22">
      <c r="A22" s="6" t="inlineStr">
        <is>
          <t>Approvals &amp; Fees</t>
        </is>
      </c>
      <c r="B22" s="25" t="n">
        <v>8</v>
      </c>
      <c r="C22" s="19" t="inlineStr">
        <is>
          <t>₹ Cr</t>
        </is>
      </c>
      <c r="D22" s="20" t="inlineStr">
        <is>
          <t>RERA, BBMP, BWSSB, BESCOM etc.</t>
        </is>
      </c>
    </row>
    <row r="23">
      <c r="A23" s="6" t="inlineStr">
        <is>
          <t>Contingency % of Hard+Soft</t>
        </is>
      </c>
      <c r="B23" s="23" t="n">
        <v>0.05</v>
      </c>
      <c r="C23" s="19" t="inlineStr">
        <is>
          <t>%</t>
        </is>
      </c>
      <c r="D23" s="20" t="inlineStr">
        <is>
          <t>Reserve</t>
        </is>
      </c>
    </row>
    <row r="24">
      <c r="A24" s="6" t="inlineStr">
        <is>
          <t>Construction Start Month</t>
        </is>
      </c>
      <c r="B24" s="26" t="n">
        <v>3</v>
      </c>
      <c r="C24" s="19" t="inlineStr">
        <is>
          <t>month</t>
        </is>
      </c>
      <c r="D24" s="20" t="inlineStr">
        <is>
          <t>Offset from project start</t>
        </is>
      </c>
    </row>
    <row r="25">
      <c r="A25" s="6" t="inlineStr">
        <is>
          <t>Construction Duration</t>
        </is>
      </c>
      <c r="B25" s="26" t="n">
        <v>24</v>
      </c>
      <c r="C25" s="19" t="inlineStr">
        <is>
          <t>months</t>
        </is>
      </c>
      <c r="D25" s="20" t="inlineStr">
        <is>
          <t>Linear spend assumed</t>
        </is>
      </c>
    </row>
    <row r="27">
      <c r="A27" s="12" t="inlineStr">
        <is>
          <t>4. REVENUE</t>
        </is>
      </c>
    </row>
    <row r="28">
      <c r="A28" s="6" t="inlineStr">
        <is>
          <t>Sale Price</t>
        </is>
      </c>
      <c r="B28" s="18" t="n">
        <v>12000</v>
      </c>
      <c r="C28" s="19" t="inlineStr">
        <is>
          <t>₹/sqft</t>
        </is>
      </c>
      <c r="D28" s="20" t="inlineStr">
        <is>
          <t>Market price on saleable</t>
        </is>
      </c>
    </row>
    <row r="29">
      <c r="A29" s="6" t="inlineStr">
        <is>
          <t>Price Escalation p.a.</t>
        </is>
      </c>
      <c r="B29" s="23" t="n">
        <v>0.04</v>
      </c>
      <c r="C29" s="19" t="inlineStr">
        <is>
          <t>%</t>
        </is>
      </c>
      <c r="D29" s="20" t="inlineStr">
        <is>
          <t>Compounded per year</t>
        </is>
      </c>
    </row>
    <row r="30">
      <c r="A30" s="6" t="inlineStr">
        <is>
          <t>Sales Start Month</t>
        </is>
      </c>
      <c r="B30" s="26" t="n">
        <v>9</v>
      </c>
      <c r="C30" s="19" t="inlineStr">
        <is>
          <t>month</t>
        </is>
      </c>
      <c r="D30" s="20" t="inlineStr">
        <is>
          <t>Usually after soft-launch</t>
        </is>
      </c>
    </row>
    <row r="31">
      <c r="A31" s="6" t="inlineStr">
        <is>
          <t>Sales Duration</t>
        </is>
      </c>
      <c r="B31" s="26" t="n">
        <v>30</v>
      </c>
      <c r="C31" s="19" t="inlineStr">
        <is>
          <t>months</t>
        </is>
      </c>
      <c r="D31" s="20" t="inlineStr">
        <is>
          <t>Linear absorption window</t>
        </is>
      </c>
    </row>
    <row r="32">
      <c r="A32" s="6" t="inlineStr">
        <is>
          <t>Sales Commission</t>
        </is>
      </c>
      <c r="B32" s="23" t="n">
        <v>0.02</v>
      </c>
      <c r="C32" s="19" t="inlineStr">
        <is>
          <t>%</t>
        </is>
      </c>
      <c r="D32" s="20" t="inlineStr">
        <is>
          <t>Broker + internal</t>
        </is>
      </c>
    </row>
    <row r="33">
      <c r="A33" s="6" t="inlineStr">
        <is>
          <t>GST &amp; Other Sale Costs</t>
        </is>
      </c>
      <c r="B33" s="23" t="n">
        <v>0.05</v>
      </c>
      <c r="C33" s="19" t="inlineStr">
        <is>
          <t>%</t>
        </is>
      </c>
      <c r="D33" s="20" t="inlineStr">
        <is>
          <t>Net to developer reduction</t>
        </is>
      </c>
    </row>
    <row r="35">
      <c r="A35" s="12" t="inlineStr">
        <is>
          <t>5. DEBT</t>
        </is>
      </c>
    </row>
    <row r="36">
      <c r="A36" s="6" t="inlineStr">
        <is>
          <t>Loan to Cost (LTC)</t>
        </is>
      </c>
      <c r="B36" s="23" t="n">
        <v>0.55</v>
      </c>
      <c r="C36" s="19" t="inlineStr">
        <is>
          <t>%</t>
        </is>
      </c>
      <c r="D36" s="20" t="inlineStr">
        <is>
          <t>Applied to dev cost only</t>
        </is>
      </c>
    </row>
    <row r="37">
      <c r="A37" s="6" t="inlineStr">
        <is>
          <t>Interest Rate p.a.</t>
        </is>
      </c>
      <c r="B37" s="23" t="n">
        <v>0.11</v>
      </c>
      <c r="C37" s="19" t="inlineStr">
        <is>
          <t>%</t>
        </is>
      </c>
      <c r="D37" s="20" t="inlineStr">
        <is>
          <t>Annual, compounded quarterly</t>
        </is>
      </c>
    </row>
    <row r="38">
      <c r="A38" s="6" t="inlineStr">
        <is>
          <t>Drawdown Start Month</t>
        </is>
      </c>
      <c r="B38" s="26" t="n">
        <v>3</v>
      </c>
      <c r="C38" s="19" t="inlineStr">
        <is>
          <t>month</t>
        </is>
      </c>
      <c r="D38" s="20" t="inlineStr">
        <is>
          <t>Usually = construction start</t>
        </is>
      </c>
    </row>
    <row r="39">
      <c r="A39" s="6" t="inlineStr">
        <is>
          <t>Drawdown End Month</t>
        </is>
      </c>
      <c r="B39" s="26" t="n">
        <v>27</v>
      </c>
      <c r="C39" s="19" t="inlineStr">
        <is>
          <t>month</t>
        </is>
      </c>
      <c r="D39" s="20" t="inlineStr">
        <is>
          <t>Usually = construction end</t>
        </is>
      </c>
    </row>
    <row r="41">
      <c r="A41" s="12" t="inlineStr">
        <is>
          <t>6. TIMELINE &amp; PERIODICITY</t>
        </is>
      </c>
    </row>
    <row r="42">
      <c r="A42" s="6" t="inlineStr">
        <is>
          <t>Model Start Date</t>
        </is>
      </c>
      <c r="B42" s="28" t="n">
        <v>46113</v>
      </c>
      <c r="C42" s="19" t="inlineStr">
        <is>
          <t>date</t>
        </is>
      </c>
      <c r="D42" s="20" t="inlineStr">
        <is>
          <t>Dates used for XIRR/XNPV</t>
        </is>
      </c>
    </row>
    <row r="43">
      <c r="A43" s="6" t="inlineStr">
        <is>
          <t>Period Length</t>
        </is>
      </c>
      <c r="B43" s="26" t="n">
        <v>3</v>
      </c>
      <c r="C43" s="19" t="inlineStr">
        <is>
          <t>months</t>
        </is>
      </c>
      <c r="D43" s="20" t="inlineStr">
        <is>
          <t>Quarterly grid</t>
        </is>
      </c>
    </row>
    <row r="44">
      <c r="A44" s="6" t="inlineStr">
        <is>
          <t>Number of Periods</t>
        </is>
      </c>
      <c r="B44" s="18" t="n">
        <v>20</v>
      </c>
      <c r="C44" s="19" t="inlineStr">
        <is>
          <t>#</t>
        </is>
      </c>
      <c r="D44" s="20" t="inlineStr">
        <is>
          <t>5 years quarterly</t>
        </is>
      </c>
    </row>
    <row r="46">
      <c r="A46" s="12" t="inlineStr">
        <is>
          <t>7. EXIT / RESIDUAL</t>
        </is>
      </c>
    </row>
    <row r="47">
      <c r="A47" s="6" t="inlineStr">
        <is>
          <t>Bulk Exit % of Saleable</t>
        </is>
      </c>
      <c r="B47" s="23" t="n">
        <v>0.15</v>
      </c>
      <c r="C47" s="19" t="inlineStr">
        <is>
          <t>%</t>
        </is>
      </c>
      <c r="D47" s="20" t="inlineStr">
        <is>
          <t>Sold at end of sales window</t>
        </is>
      </c>
    </row>
    <row r="48">
      <c r="A48" s="6" t="inlineStr">
        <is>
          <t>Exit Price Factor</t>
        </is>
      </c>
      <c r="B48" s="23" t="n">
        <v>0.95</v>
      </c>
      <c r="C48" s="19" t="inlineStr">
        <is>
          <t>%</t>
        </is>
      </c>
      <c r="D48" s="20" t="inlineStr">
        <is>
          <t>Discount/premium on market</t>
        </is>
      </c>
    </row>
    <row r="49">
      <c r="A49" s="6" t="inlineStr">
        <is>
          <t>Hurdle Rate (NPV)</t>
        </is>
      </c>
      <c r="B49" s="23" t="n">
        <v>0.15</v>
      </c>
      <c r="C49" s="19" t="inlineStr">
        <is>
          <t>%</t>
        </is>
      </c>
      <c r="D49" s="20" t="inlineStr">
        <is>
          <t>Used by XNPV</t>
        </is>
      </c>
    </row>
    <row r="51">
      <c r="A51" s="12" t="inlineStr">
        <is>
          <t>8. SENSITIVITY STEPS</t>
        </is>
      </c>
    </row>
    <row r="52">
      <c r="A52" s="6" t="inlineStr">
        <is>
          <t>Price Step</t>
        </is>
      </c>
      <c r="B52" s="23" t="n">
        <v>0.05</v>
      </c>
      <c r="C52" s="19" t="inlineStr">
        <is>
          <t>%</t>
        </is>
      </c>
      <c r="D52" s="20" t="inlineStr">
        <is>
          <t>±5% per step</t>
        </is>
      </c>
    </row>
    <row r="53">
      <c r="A53" s="6" t="inlineStr">
        <is>
          <t>Cost Step</t>
        </is>
      </c>
      <c r="B53" s="23" t="n">
        <v>0.05</v>
      </c>
      <c r="C53" s="19" t="inlineStr">
        <is>
          <t>%</t>
        </is>
      </c>
      <c r="D53" s="20" t="inlineStr">
        <is>
          <t>±5% per step</t>
        </is>
      </c>
    </row>
    <row r="54">
      <c r="A54" s="6" t="inlineStr">
        <is>
          <t>Exit Step</t>
        </is>
      </c>
      <c r="B54" s="23" t="n">
        <v>0.05</v>
      </c>
      <c r="C54" s="19" t="inlineStr">
        <is>
          <t>%</t>
        </is>
      </c>
      <c r="D54" s="20" t="inlineStr">
        <is>
          <t>±5% per step</t>
        </is>
      </c>
    </row>
  </sheetData>
  <mergeCells count="9">
    <mergeCell ref="A1:D1"/>
    <mergeCell ref="A17:D17"/>
    <mergeCell ref="A27:D27"/>
    <mergeCell ref="A35:D35"/>
    <mergeCell ref="A3:D3"/>
    <mergeCell ref="A41:D41"/>
    <mergeCell ref="A51:D51"/>
    <mergeCell ref="A11:D11"/>
    <mergeCell ref="A46:D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1"/>
  <sheetViews>
    <sheetView showGridLines="0" workbookViewId="0">
      <pane xSplit="1" ySplit="26" topLeftCell="B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26" customHeight="1">
      <c r="A1" s="1" t="inlineStr">
        <is>
          <t>REDIP — Model Engine | all formulas, no hardcoding</t>
        </is>
      </c>
    </row>
    <row r="3">
      <c r="A3" s="12" t="inlineStr">
        <is>
          <t>SCENARIO LOOKUP (driven by Inputs!B4)</t>
        </is>
      </c>
    </row>
    <row r="4">
      <c r="A4" s="17" t="inlineStr">
        <is>
          <t>Active Scenario</t>
        </is>
      </c>
      <c r="B4" s="29">
        <f>CHOOSE(Inputs!$B$4,"Base","Upside","Downside")</f>
        <v/>
      </c>
    </row>
    <row r="5">
      <c r="A5" s="17" t="inlineStr">
        <is>
          <t>Price Multiplier</t>
        </is>
      </c>
      <c r="B5" s="30">
        <f>INDEX(Inputs!$B$7:$B$9,Inputs!$B$4)</f>
        <v/>
      </c>
    </row>
    <row r="6">
      <c r="A6" s="17" t="inlineStr">
        <is>
          <t>Cost Multiplier</t>
        </is>
      </c>
      <c r="B6" s="30">
        <f>INDEX(Inputs!$C$7:$C$9,Inputs!$B$4)</f>
        <v/>
      </c>
    </row>
    <row r="7">
      <c r="A7" s="17" t="inlineStr">
        <is>
          <t>Exit Multiplier</t>
        </is>
      </c>
      <c r="B7" s="30">
        <f>INDEX(Inputs!$D$7:$D$9,Inputs!$B$4)</f>
        <v/>
      </c>
    </row>
    <row r="9">
      <c r="A9" s="12" t="inlineStr">
        <is>
          <t>DERIVED CONSTANTS</t>
        </is>
      </c>
    </row>
    <row r="10">
      <c r="A10" s="17" t="inlineStr">
        <is>
          <t>Site Area</t>
        </is>
      </c>
      <c r="B10" s="31">
        <f>Inputs!B12*43560</f>
        <v/>
      </c>
    </row>
    <row r="11">
      <c r="A11" s="17" t="inlineStr">
        <is>
          <t>Built-up Area</t>
        </is>
      </c>
      <c r="B11" s="31">
        <f>B10*Inputs!B18</f>
        <v/>
      </c>
    </row>
    <row r="12">
      <c r="A12" s="17" t="inlineStr">
        <is>
          <t>Saleable Area</t>
        </is>
      </c>
      <c r="B12" s="31">
        <f>B11*Inputs!B19</f>
        <v/>
      </c>
    </row>
    <row r="13">
      <c r="A13" s="17" t="inlineStr">
        <is>
          <t>Effective Sale Price</t>
        </is>
      </c>
      <c r="B13" s="32">
        <f>Inputs!B28*$B$5</f>
        <v/>
      </c>
    </row>
    <row r="14">
      <c r="A14" s="17" t="inlineStr">
        <is>
          <t>Effective Hard Cost</t>
        </is>
      </c>
      <c r="B14" s="32">
        <f>Inputs!B20*$B$6</f>
        <v/>
      </c>
    </row>
    <row r="15">
      <c r="A15" s="17" t="inlineStr">
        <is>
          <t>Quarterly Interest Rate</t>
        </is>
      </c>
      <c r="B15" s="33">
        <f>(1+Inputs!B37)^(Inputs!B43/12)-1</f>
        <v/>
      </c>
    </row>
    <row r="17">
      <c r="A17" s="12" t="inlineStr">
        <is>
          <t>PROJECT TOTALS (₹ Cr)</t>
        </is>
      </c>
    </row>
    <row r="18">
      <c r="A18" s="17" t="inlineStr">
        <is>
          <t>Land Cost (incl. Stamp Duty)</t>
        </is>
      </c>
      <c r="B18" s="15">
        <f>Inputs!B13*(1+Inputs!B14)</f>
        <v/>
      </c>
    </row>
    <row r="19">
      <c r="A19" s="17" t="inlineStr">
        <is>
          <t>Hard Construction</t>
        </is>
      </c>
      <c r="B19" s="15">
        <f>B11*$B$14/10000000</f>
        <v/>
      </c>
    </row>
    <row r="20">
      <c r="A20" s="17" t="inlineStr">
        <is>
          <t>Soft Costs</t>
        </is>
      </c>
      <c r="B20" s="15">
        <f>B19*Inputs!B21</f>
        <v/>
      </c>
    </row>
    <row r="21">
      <c r="A21" s="17" t="inlineStr">
        <is>
          <t>Approvals &amp; Fees</t>
        </is>
      </c>
      <c r="B21" s="15">
        <f>Inputs!B22</f>
        <v/>
      </c>
    </row>
    <row r="22">
      <c r="A22" s="17" t="inlineStr">
        <is>
          <t>Contingency</t>
        </is>
      </c>
      <c r="B22" s="15">
        <f>(B19+B20)*Inputs!B23</f>
        <v/>
      </c>
    </row>
    <row r="23">
      <c r="A23" s="34" t="inlineStr">
        <is>
          <t>Total Development Cost</t>
        </is>
      </c>
      <c r="B23" s="35">
        <f>SUM(B19:B22)</f>
        <v/>
      </c>
    </row>
    <row r="24">
      <c r="A24" s="34" t="inlineStr">
        <is>
          <t>Total Project Cost</t>
        </is>
      </c>
      <c r="B24" s="35">
        <f>B18+B23</f>
        <v/>
      </c>
    </row>
    <row r="25">
      <c r="A25" s="34" t="inlineStr">
        <is>
          <t>Max Loan (LTC × Dev)</t>
        </is>
      </c>
      <c r="B25" s="35">
        <f>B23*Inputs!B36</f>
        <v/>
      </c>
    </row>
    <row r="26">
      <c r="A26" s="12" t="inlineStr">
        <is>
          <t>QUARTERLY CASH FLOW GRID</t>
        </is>
      </c>
    </row>
    <row r="27">
      <c r="A27" s="36" t="inlineStr">
        <is>
          <t>Period #</t>
        </is>
      </c>
      <c r="B27" s="37" t="n">
        <v>1</v>
      </c>
      <c r="C27" s="37" t="n">
        <v>2</v>
      </c>
      <c r="D27" s="37" t="n">
        <v>3</v>
      </c>
      <c r="E27" s="37" t="n">
        <v>4</v>
      </c>
      <c r="F27" s="37" t="n">
        <v>5</v>
      </c>
      <c r="G27" s="37" t="n">
        <v>6</v>
      </c>
      <c r="H27" s="37" t="n">
        <v>7</v>
      </c>
      <c r="I27" s="37" t="n">
        <v>8</v>
      </c>
      <c r="J27" s="37" t="n">
        <v>9</v>
      </c>
      <c r="K27" s="37" t="n">
        <v>10</v>
      </c>
      <c r="L27" s="37" t="n">
        <v>11</v>
      </c>
      <c r="M27" s="37" t="n">
        <v>12</v>
      </c>
      <c r="N27" s="37" t="n">
        <v>13</v>
      </c>
      <c r="O27" s="37" t="n">
        <v>14</v>
      </c>
      <c r="P27" s="37" t="n">
        <v>15</v>
      </c>
      <c r="Q27" s="37" t="n">
        <v>16</v>
      </c>
      <c r="R27" s="37" t="n">
        <v>17</v>
      </c>
      <c r="S27" s="37" t="n">
        <v>18</v>
      </c>
      <c r="T27" s="37" t="n">
        <v>19</v>
      </c>
      <c r="U27" s="37" t="n">
        <v>20</v>
      </c>
    </row>
    <row r="28">
      <c r="A28" s="6" t="inlineStr">
        <is>
          <t>Month Start</t>
        </is>
      </c>
      <c r="B28" s="38">
        <f>(1-1)*Inputs!$B$43</f>
        <v/>
      </c>
      <c r="C28" s="38">
        <f>(2-1)*Inputs!$B$43</f>
        <v/>
      </c>
      <c r="D28" s="38">
        <f>(3-1)*Inputs!$B$43</f>
        <v/>
      </c>
      <c r="E28" s="38">
        <f>(4-1)*Inputs!$B$43</f>
        <v/>
      </c>
      <c r="F28" s="38">
        <f>(5-1)*Inputs!$B$43</f>
        <v/>
      </c>
      <c r="G28" s="38">
        <f>(6-1)*Inputs!$B$43</f>
        <v/>
      </c>
      <c r="H28" s="38">
        <f>(7-1)*Inputs!$B$43</f>
        <v/>
      </c>
      <c r="I28" s="38">
        <f>(8-1)*Inputs!$B$43</f>
        <v/>
      </c>
      <c r="J28" s="38">
        <f>(9-1)*Inputs!$B$43</f>
        <v/>
      </c>
      <c r="K28" s="38">
        <f>(10-1)*Inputs!$B$43</f>
        <v/>
      </c>
      <c r="L28" s="38">
        <f>(11-1)*Inputs!$B$43</f>
        <v/>
      </c>
      <c r="M28" s="38">
        <f>(12-1)*Inputs!$B$43</f>
        <v/>
      </c>
      <c r="N28" s="38">
        <f>(13-1)*Inputs!$B$43</f>
        <v/>
      </c>
      <c r="O28" s="38">
        <f>(14-1)*Inputs!$B$43</f>
        <v/>
      </c>
      <c r="P28" s="38">
        <f>(15-1)*Inputs!$B$43</f>
        <v/>
      </c>
      <c r="Q28" s="38">
        <f>(16-1)*Inputs!$B$43</f>
        <v/>
      </c>
      <c r="R28" s="38">
        <f>(17-1)*Inputs!$B$43</f>
        <v/>
      </c>
      <c r="S28" s="38">
        <f>(18-1)*Inputs!$B$43</f>
        <v/>
      </c>
      <c r="T28" s="38">
        <f>(19-1)*Inputs!$B$43</f>
        <v/>
      </c>
      <c r="U28" s="38">
        <f>(20-1)*Inputs!$B$43</f>
        <v/>
      </c>
    </row>
    <row r="29">
      <c r="A29" s="6" t="inlineStr">
        <is>
          <t>Month End</t>
        </is>
      </c>
      <c r="B29" s="38">
        <f>1*Inputs!$B$43</f>
        <v/>
      </c>
      <c r="C29" s="38">
        <f>2*Inputs!$B$43</f>
        <v/>
      </c>
      <c r="D29" s="38">
        <f>3*Inputs!$B$43</f>
        <v/>
      </c>
      <c r="E29" s="38">
        <f>4*Inputs!$B$43</f>
        <v/>
      </c>
      <c r="F29" s="38">
        <f>5*Inputs!$B$43</f>
        <v/>
      </c>
      <c r="G29" s="38">
        <f>6*Inputs!$B$43</f>
        <v/>
      </c>
      <c r="H29" s="38">
        <f>7*Inputs!$B$43</f>
        <v/>
      </c>
      <c r="I29" s="38">
        <f>8*Inputs!$B$43</f>
        <v/>
      </c>
      <c r="J29" s="38">
        <f>9*Inputs!$B$43</f>
        <v/>
      </c>
      <c r="K29" s="38">
        <f>10*Inputs!$B$43</f>
        <v/>
      </c>
      <c r="L29" s="38">
        <f>11*Inputs!$B$43</f>
        <v/>
      </c>
      <c r="M29" s="38">
        <f>12*Inputs!$B$43</f>
        <v/>
      </c>
      <c r="N29" s="38">
        <f>13*Inputs!$B$43</f>
        <v/>
      </c>
      <c r="O29" s="38">
        <f>14*Inputs!$B$43</f>
        <v/>
      </c>
      <c r="P29" s="38">
        <f>15*Inputs!$B$43</f>
        <v/>
      </c>
      <c r="Q29" s="38">
        <f>16*Inputs!$B$43</f>
        <v/>
      </c>
      <c r="R29" s="38">
        <f>17*Inputs!$B$43</f>
        <v/>
      </c>
      <c r="S29" s="38">
        <f>18*Inputs!$B$43</f>
        <v/>
      </c>
      <c r="T29" s="38">
        <f>19*Inputs!$B$43</f>
        <v/>
      </c>
      <c r="U29" s="38">
        <f>20*Inputs!$B$43</f>
        <v/>
      </c>
    </row>
    <row r="30">
      <c r="A30" s="6" t="inlineStr">
        <is>
          <t>Period End Date</t>
        </is>
      </c>
      <c r="B30" s="39">
        <f>EDATE(Inputs!$B$42,B$29)</f>
        <v/>
      </c>
      <c r="C30" s="39">
        <f>EDATE(Inputs!$B$42,C$29)</f>
        <v/>
      </c>
      <c r="D30" s="39">
        <f>EDATE(Inputs!$B$42,D$29)</f>
        <v/>
      </c>
      <c r="E30" s="39">
        <f>EDATE(Inputs!$B$42,E$29)</f>
        <v/>
      </c>
      <c r="F30" s="39">
        <f>EDATE(Inputs!$B$42,F$29)</f>
        <v/>
      </c>
      <c r="G30" s="39">
        <f>EDATE(Inputs!$B$42,G$29)</f>
        <v/>
      </c>
      <c r="H30" s="39">
        <f>EDATE(Inputs!$B$42,H$29)</f>
        <v/>
      </c>
      <c r="I30" s="39">
        <f>EDATE(Inputs!$B$42,I$29)</f>
        <v/>
      </c>
      <c r="J30" s="39">
        <f>EDATE(Inputs!$B$42,J$29)</f>
        <v/>
      </c>
      <c r="K30" s="39">
        <f>EDATE(Inputs!$B$42,K$29)</f>
        <v/>
      </c>
      <c r="L30" s="39">
        <f>EDATE(Inputs!$B$42,L$29)</f>
        <v/>
      </c>
      <c r="M30" s="39">
        <f>EDATE(Inputs!$B$42,M$29)</f>
        <v/>
      </c>
      <c r="N30" s="39">
        <f>EDATE(Inputs!$B$42,N$29)</f>
        <v/>
      </c>
      <c r="O30" s="39">
        <f>EDATE(Inputs!$B$42,O$29)</f>
        <v/>
      </c>
      <c r="P30" s="39">
        <f>EDATE(Inputs!$B$42,P$29)</f>
        <v/>
      </c>
      <c r="Q30" s="39">
        <f>EDATE(Inputs!$B$42,Q$29)</f>
        <v/>
      </c>
      <c r="R30" s="39">
        <f>EDATE(Inputs!$B$42,R$29)</f>
        <v/>
      </c>
      <c r="S30" s="39">
        <f>EDATE(Inputs!$B$42,S$29)</f>
        <v/>
      </c>
      <c r="T30" s="39">
        <f>EDATE(Inputs!$B$42,T$29)</f>
        <v/>
      </c>
      <c r="U30" s="39">
        <f>EDATE(Inputs!$B$42,U$29)</f>
        <v/>
      </c>
    </row>
    <row r="31">
      <c r="A31" s="6" t="inlineStr">
        <is>
          <t>Construction Phasing %</t>
        </is>
      </c>
      <c r="B31" s="40">
        <f>MAX(0,MIN(Inputs!$B$24+Inputs!$B$25,B$29)-MAX(Inputs!$B$24,B$28))/Inputs!$B$25</f>
        <v/>
      </c>
      <c r="C31" s="40">
        <f>MAX(0,MIN(Inputs!$B$24+Inputs!$B$25,C$29)-MAX(Inputs!$B$24,C$28))/Inputs!$B$25</f>
        <v/>
      </c>
      <c r="D31" s="40">
        <f>MAX(0,MIN(Inputs!$B$24+Inputs!$B$25,D$29)-MAX(Inputs!$B$24,D$28))/Inputs!$B$25</f>
        <v/>
      </c>
      <c r="E31" s="40">
        <f>MAX(0,MIN(Inputs!$B$24+Inputs!$B$25,E$29)-MAX(Inputs!$B$24,E$28))/Inputs!$B$25</f>
        <v/>
      </c>
      <c r="F31" s="40">
        <f>MAX(0,MIN(Inputs!$B$24+Inputs!$B$25,F$29)-MAX(Inputs!$B$24,F$28))/Inputs!$B$25</f>
        <v/>
      </c>
      <c r="G31" s="40">
        <f>MAX(0,MIN(Inputs!$B$24+Inputs!$B$25,G$29)-MAX(Inputs!$B$24,G$28))/Inputs!$B$25</f>
        <v/>
      </c>
      <c r="H31" s="40">
        <f>MAX(0,MIN(Inputs!$B$24+Inputs!$B$25,H$29)-MAX(Inputs!$B$24,H$28))/Inputs!$B$25</f>
        <v/>
      </c>
      <c r="I31" s="40">
        <f>MAX(0,MIN(Inputs!$B$24+Inputs!$B$25,I$29)-MAX(Inputs!$B$24,I$28))/Inputs!$B$25</f>
        <v/>
      </c>
      <c r="J31" s="40">
        <f>MAX(0,MIN(Inputs!$B$24+Inputs!$B$25,J$29)-MAX(Inputs!$B$24,J$28))/Inputs!$B$25</f>
        <v/>
      </c>
      <c r="K31" s="40">
        <f>MAX(0,MIN(Inputs!$B$24+Inputs!$B$25,K$29)-MAX(Inputs!$B$24,K$28))/Inputs!$B$25</f>
        <v/>
      </c>
      <c r="L31" s="40">
        <f>MAX(0,MIN(Inputs!$B$24+Inputs!$B$25,L$29)-MAX(Inputs!$B$24,L$28))/Inputs!$B$25</f>
        <v/>
      </c>
      <c r="M31" s="40">
        <f>MAX(0,MIN(Inputs!$B$24+Inputs!$B$25,M$29)-MAX(Inputs!$B$24,M$28))/Inputs!$B$25</f>
        <v/>
      </c>
      <c r="N31" s="40">
        <f>MAX(0,MIN(Inputs!$B$24+Inputs!$B$25,N$29)-MAX(Inputs!$B$24,N$28))/Inputs!$B$25</f>
        <v/>
      </c>
      <c r="O31" s="40">
        <f>MAX(0,MIN(Inputs!$B$24+Inputs!$B$25,O$29)-MAX(Inputs!$B$24,O$28))/Inputs!$B$25</f>
        <v/>
      </c>
      <c r="P31" s="40">
        <f>MAX(0,MIN(Inputs!$B$24+Inputs!$B$25,P$29)-MAX(Inputs!$B$24,P$28))/Inputs!$B$25</f>
        <v/>
      </c>
      <c r="Q31" s="40">
        <f>MAX(0,MIN(Inputs!$B$24+Inputs!$B$25,Q$29)-MAX(Inputs!$B$24,Q$28))/Inputs!$B$25</f>
        <v/>
      </c>
      <c r="R31" s="40">
        <f>MAX(0,MIN(Inputs!$B$24+Inputs!$B$25,R$29)-MAX(Inputs!$B$24,R$28))/Inputs!$B$25</f>
        <v/>
      </c>
      <c r="S31" s="40">
        <f>MAX(0,MIN(Inputs!$B$24+Inputs!$B$25,S$29)-MAX(Inputs!$B$24,S$28))/Inputs!$B$25</f>
        <v/>
      </c>
      <c r="T31" s="40">
        <f>MAX(0,MIN(Inputs!$B$24+Inputs!$B$25,T$29)-MAX(Inputs!$B$24,T$28))/Inputs!$B$25</f>
        <v/>
      </c>
      <c r="U31" s="40">
        <f>MAX(0,MIN(Inputs!$B$24+Inputs!$B$25,U$29)-MAX(Inputs!$B$24,U$28))/Inputs!$B$25</f>
        <v/>
      </c>
    </row>
    <row r="32">
      <c r="A32" s="6" t="inlineStr">
        <is>
          <t>Absorption Phasing %</t>
        </is>
      </c>
      <c r="B32" s="40">
        <f>MAX(0,MIN(Inputs!$B$30+Inputs!$B$31,B$29)-MAX(Inputs!$B$30,B$28))/Inputs!$B$31*(1-Inputs!$B$47)</f>
        <v/>
      </c>
      <c r="C32" s="40">
        <f>MAX(0,MIN(Inputs!$B$30+Inputs!$B$31,C$29)-MAX(Inputs!$B$30,C$28))/Inputs!$B$31*(1-Inputs!$B$47)</f>
        <v/>
      </c>
      <c r="D32" s="40">
        <f>MAX(0,MIN(Inputs!$B$30+Inputs!$B$31,D$29)-MAX(Inputs!$B$30,D$28))/Inputs!$B$31*(1-Inputs!$B$47)</f>
        <v/>
      </c>
      <c r="E32" s="40">
        <f>MAX(0,MIN(Inputs!$B$30+Inputs!$B$31,E$29)-MAX(Inputs!$B$30,E$28))/Inputs!$B$31*(1-Inputs!$B$47)</f>
        <v/>
      </c>
      <c r="F32" s="40">
        <f>MAX(0,MIN(Inputs!$B$30+Inputs!$B$31,F$29)-MAX(Inputs!$B$30,F$28))/Inputs!$B$31*(1-Inputs!$B$47)</f>
        <v/>
      </c>
      <c r="G32" s="40">
        <f>MAX(0,MIN(Inputs!$B$30+Inputs!$B$31,G$29)-MAX(Inputs!$B$30,G$28))/Inputs!$B$31*(1-Inputs!$B$47)</f>
        <v/>
      </c>
      <c r="H32" s="40">
        <f>MAX(0,MIN(Inputs!$B$30+Inputs!$B$31,H$29)-MAX(Inputs!$B$30,H$28))/Inputs!$B$31*(1-Inputs!$B$47)</f>
        <v/>
      </c>
      <c r="I32" s="40">
        <f>MAX(0,MIN(Inputs!$B$30+Inputs!$B$31,I$29)-MAX(Inputs!$B$30,I$28))/Inputs!$B$31*(1-Inputs!$B$47)</f>
        <v/>
      </c>
      <c r="J32" s="40">
        <f>MAX(0,MIN(Inputs!$B$30+Inputs!$B$31,J$29)-MAX(Inputs!$B$30,J$28))/Inputs!$B$31*(1-Inputs!$B$47)</f>
        <v/>
      </c>
      <c r="K32" s="40">
        <f>MAX(0,MIN(Inputs!$B$30+Inputs!$B$31,K$29)-MAX(Inputs!$B$30,K$28))/Inputs!$B$31*(1-Inputs!$B$47)</f>
        <v/>
      </c>
      <c r="L32" s="40">
        <f>MAX(0,MIN(Inputs!$B$30+Inputs!$B$31,L$29)-MAX(Inputs!$B$30,L$28))/Inputs!$B$31*(1-Inputs!$B$47)</f>
        <v/>
      </c>
      <c r="M32" s="40">
        <f>MAX(0,MIN(Inputs!$B$30+Inputs!$B$31,M$29)-MAX(Inputs!$B$30,M$28))/Inputs!$B$31*(1-Inputs!$B$47)</f>
        <v/>
      </c>
      <c r="N32" s="40">
        <f>MAX(0,MIN(Inputs!$B$30+Inputs!$B$31,N$29)-MAX(Inputs!$B$30,N$28))/Inputs!$B$31*(1-Inputs!$B$47)</f>
        <v/>
      </c>
      <c r="O32" s="40">
        <f>MAX(0,MIN(Inputs!$B$30+Inputs!$B$31,O$29)-MAX(Inputs!$B$30,O$28))/Inputs!$B$31*(1-Inputs!$B$47)</f>
        <v/>
      </c>
      <c r="P32" s="40">
        <f>MAX(0,MIN(Inputs!$B$30+Inputs!$B$31,P$29)-MAX(Inputs!$B$30,P$28))/Inputs!$B$31*(1-Inputs!$B$47)</f>
        <v/>
      </c>
      <c r="Q32" s="40">
        <f>MAX(0,MIN(Inputs!$B$30+Inputs!$B$31,Q$29)-MAX(Inputs!$B$30,Q$28))/Inputs!$B$31*(1-Inputs!$B$47)</f>
        <v/>
      </c>
      <c r="R32" s="40">
        <f>MAX(0,MIN(Inputs!$B$30+Inputs!$B$31,R$29)-MAX(Inputs!$B$30,R$28))/Inputs!$B$31*(1-Inputs!$B$47)</f>
        <v/>
      </c>
      <c r="S32" s="40">
        <f>MAX(0,MIN(Inputs!$B$30+Inputs!$B$31,S$29)-MAX(Inputs!$B$30,S$28))/Inputs!$B$31*(1-Inputs!$B$47)</f>
        <v/>
      </c>
      <c r="T32" s="40">
        <f>MAX(0,MIN(Inputs!$B$30+Inputs!$B$31,T$29)-MAX(Inputs!$B$30,T$28))/Inputs!$B$31*(1-Inputs!$B$47)</f>
        <v/>
      </c>
      <c r="U32" s="40">
        <f>MAX(0,MIN(Inputs!$B$30+Inputs!$B$31,U$29)-MAX(Inputs!$B$30,U$28))/Inputs!$B$31*(1-Inputs!$B$47)</f>
        <v/>
      </c>
    </row>
    <row r="33">
      <c r="A33" s="6" t="inlineStr">
        <is>
          <t>Bulk Exit Indicator</t>
        </is>
      </c>
      <c r="B33" s="32">
        <f>IF(AND(Inputs!$B$30+Inputs!$B$31&gt;B$28,Inputs!$B$30+Inputs!$B$31&lt;=B$29),1,0)</f>
        <v/>
      </c>
      <c r="C33" s="32">
        <f>IF(AND(Inputs!$B$30+Inputs!$B$31&gt;C$28,Inputs!$B$30+Inputs!$B$31&lt;=C$29),1,0)</f>
        <v/>
      </c>
      <c r="D33" s="32">
        <f>IF(AND(Inputs!$B$30+Inputs!$B$31&gt;D$28,Inputs!$B$30+Inputs!$B$31&lt;=D$29),1,0)</f>
        <v/>
      </c>
      <c r="E33" s="32">
        <f>IF(AND(Inputs!$B$30+Inputs!$B$31&gt;E$28,Inputs!$B$30+Inputs!$B$31&lt;=E$29),1,0)</f>
        <v/>
      </c>
      <c r="F33" s="32">
        <f>IF(AND(Inputs!$B$30+Inputs!$B$31&gt;F$28,Inputs!$B$30+Inputs!$B$31&lt;=F$29),1,0)</f>
        <v/>
      </c>
      <c r="G33" s="32">
        <f>IF(AND(Inputs!$B$30+Inputs!$B$31&gt;G$28,Inputs!$B$30+Inputs!$B$31&lt;=G$29),1,0)</f>
        <v/>
      </c>
      <c r="H33" s="32">
        <f>IF(AND(Inputs!$B$30+Inputs!$B$31&gt;H$28,Inputs!$B$30+Inputs!$B$31&lt;=H$29),1,0)</f>
        <v/>
      </c>
      <c r="I33" s="32">
        <f>IF(AND(Inputs!$B$30+Inputs!$B$31&gt;I$28,Inputs!$B$30+Inputs!$B$31&lt;=I$29),1,0)</f>
        <v/>
      </c>
      <c r="J33" s="32">
        <f>IF(AND(Inputs!$B$30+Inputs!$B$31&gt;J$28,Inputs!$B$30+Inputs!$B$31&lt;=J$29),1,0)</f>
        <v/>
      </c>
      <c r="K33" s="32">
        <f>IF(AND(Inputs!$B$30+Inputs!$B$31&gt;K$28,Inputs!$B$30+Inputs!$B$31&lt;=K$29),1,0)</f>
        <v/>
      </c>
      <c r="L33" s="32">
        <f>IF(AND(Inputs!$B$30+Inputs!$B$31&gt;L$28,Inputs!$B$30+Inputs!$B$31&lt;=L$29),1,0)</f>
        <v/>
      </c>
      <c r="M33" s="32">
        <f>IF(AND(Inputs!$B$30+Inputs!$B$31&gt;M$28,Inputs!$B$30+Inputs!$B$31&lt;=M$29),1,0)</f>
        <v/>
      </c>
      <c r="N33" s="32">
        <f>IF(AND(Inputs!$B$30+Inputs!$B$31&gt;N$28,Inputs!$B$30+Inputs!$B$31&lt;=N$29),1,0)</f>
        <v/>
      </c>
      <c r="O33" s="32">
        <f>IF(AND(Inputs!$B$30+Inputs!$B$31&gt;O$28,Inputs!$B$30+Inputs!$B$31&lt;=O$29),1,0)</f>
        <v/>
      </c>
      <c r="P33" s="32">
        <f>IF(AND(Inputs!$B$30+Inputs!$B$31&gt;P$28,Inputs!$B$30+Inputs!$B$31&lt;=P$29),1,0)</f>
        <v/>
      </c>
      <c r="Q33" s="32">
        <f>IF(AND(Inputs!$B$30+Inputs!$B$31&gt;Q$28,Inputs!$B$30+Inputs!$B$31&lt;=Q$29),1,0)</f>
        <v/>
      </c>
      <c r="R33" s="32">
        <f>IF(AND(Inputs!$B$30+Inputs!$B$31&gt;R$28,Inputs!$B$30+Inputs!$B$31&lt;=R$29),1,0)</f>
        <v/>
      </c>
      <c r="S33" s="32">
        <f>IF(AND(Inputs!$B$30+Inputs!$B$31&gt;S$28,Inputs!$B$30+Inputs!$B$31&lt;=S$29),1,0)</f>
        <v/>
      </c>
      <c r="T33" s="32">
        <f>IF(AND(Inputs!$B$30+Inputs!$B$31&gt;T$28,Inputs!$B$30+Inputs!$B$31&lt;=T$29),1,0)</f>
        <v/>
      </c>
      <c r="U33" s="32">
        <f>IF(AND(Inputs!$B$30+Inputs!$B$31&gt;U$28,Inputs!$B$30+Inputs!$B$31&lt;=U$29),1,0)</f>
        <v/>
      </c>
    </row>
    <row r="34">
      <c r="A34" s="6" t="inlineStr">
        <is>
          <t>Mid-period Month</t>
        </is>
      </c>
      <c r="B34" s="41">
        <f>(B$28+B$29)/2</f>
        <v/>
      </c>
      <c r="C34" s="41">
        <f>(C$28+C$29)/2</f>
        <v/>
      </c>
      <c r="D34" s="41">
        <f>(D$28+D$29)/2</f>
        <v/>
      </c>
      <c r="E34" s="41">
        <f>(E$28+E$29)/2</f>
        <v/>
      </c>
      <c r="F34" s="41">
        <f>(F$28+F$29)/2</f>
        <v/>
      </c>
      <c r="G34" s="41">
        <f>(G$28+G$29)/2</f>
        <v/>
      </c>
      <c r="H34" s="41">
        <f>(H$28+H$29)/2</f>
        <v/>
      </c>
      <c r="I34" s="41">
        <f>(I$28+I$29)/2</f>
        <v/>
      </c>
      <c r="J34" s="41">
        <f>(J$28+J$29)/2</f>
        <v/>
      </c>
      <c r="K34" s="41">
        <f>(K$28+K$29)/2</f>
        <v/>
      </c>
      <c r="L34" s="41">
        <f>(L$28+L$29)/2</f>
        <v/>
      </c>
      <c r="M34" s="41">
        <f>(M$28+M$29)/2</f>
        <v/>
      </c>
      <c r="N34" s="41">
        <f>(N$28+N$29)/2</f>
        <v/>
      </c>
      <c r="O34" s="41">
        <f>(O$28+O$29)/2</f>
        <v/>
      </c>
      <c r="P34" s="41">
        <f>(P$28+P$29)/2</f>
        <v/>
      </c>
      <c r="Q34" s="41">
        <f>(Q$28+Q$29)/2</f>
        <v/>
      </c>
      <c r="R34" s="41">
        <f>(R$28+R$29)/2</f>
        <v/>
      </c>
      <c r="S34" s="41">
        <f>(S$28+S$29)/2</f>
        <v/>
      </c>
      <c r="T34" s="41">
        <f>(T$28+T$29)/2</f>
        <v/>
      </c>
      <c r="U34" s="41">
        <f>(U$28+U$29)/2</f>
        <v/>
      </c>
    </row>
    <row r="36">
      <c r="A36" s="6" t="inlineStr">
        <is>
          <t xml:space="preserve">  Land Outflow</t>
        </is>
      </c>
      <c r="B36" s="15">
        <f>IF(AND(Inputs!$B$15&gt;=B$28,Inputs!$B$15&lt;B$29),$B$18,0)</f>
        <v/>
      </c>
      <c r="C36" s="15">
        <f>IF(AND(Inputs!$B$15&gt;=C$28,Inputs!$B$15&lt;C$29),$B$18,0)</f>
        <v/>
      </c>
      <c r="D36" s="15">
        <f>IF(AND(Inputs!$B$15&gt;=D$28,Inputs!$B$15&lt;D$29),$B$18,0)</f>
        <v/>
      </c>
      <c r="E36" s="15">
        <f>IF(AND(Inputs!$B$15&gt;=E$28,Inputs!$B$15&lt;E$29),$B$18,0)</f>
        <v/>
      </c>
      <c r="F36" s="15">
        <f>IF(AND(Inputs!$B$15&gt;=F$28,Inputs!$B$15&lt;F$29),$B$18,0)</f>
        <v/>
      </c>
      <c r="G36" s="15">
        <f>IF(AND(Inputs!$B$15&gt;=G$28,Inputs!$B$15&lt;G$29),$B$18,0)</f>
        <v/>
      </c>
      <c r="H36" s="15">
        <f>IF(AND(Inputs!$B$15&gt;=H$28,Inputs!$B$15&lt;H$29),$B$18,0)</f>
        <v/>
      </c>
      <c r="I36" s="15">
        <f>IF(AND(Inputs!$B$15&gt;=I$28,Inputs!$B$15&lt;I$29),$B$18,0)</f>
        <v/>
      </c>
      <c r="J36" s="15">
        <f>IF(AND(Inputs!$B$15&gt;=J$28,Inputs!$B$15&lt;J$29),$B$18,0)</f>
        <v/>
      </c>
      <c r="K36" s="15">
        <f>IF(AND(Inputs!$B$15&gt;=K$28,Inputs!$B$15&lt;K$29),$B$18,0)</f>
        <v/>
      </c>
      <c r="L36" s="15">
        <f>IF(AND(Inputs!$B$15&gt;=L$28,Inputs!$B$15&lt;L$29),$B$18,0)</f>
        <v/>
      </c>
      <c r="M36" s="15">
        <f>IF(AND(Inputs!$B$15&gt;=M$28,Inputs!$B$15&lt;M$29),$B$18,0)</f>
        <v/>
      </c>
      <c r="N36" s="15">
        <f>IF(AND(Inputs!$B$15&gt;=N$28,Inputs!$B$15&lt;N$29),$B$18,0)</f>
        <v/>
      </c>
      <c r="O36" s="15">
        <f>IF(AND(Inputs!$B$15&gt;=O$28,Inputs!$B$15&lt;O$29),$B$18,0)</f>
        <v/>
      </c>
      <c r="P36" s="15">
        <f>IF(AND(Inputs!$B$15&gt;=P$28,Inputs!$B$15&lt;P$29),$B$18,0)</f>
        <v/>
      </c>
      <c r="Q36" s="15">
        <f>IF(AND(Inputs!$B$15&gt;=Q$28,Inputs!$B$15&lt;Q$29),$B$18,0)</f>
        <v/>
      </c>
      <c r="R36" s="15">
        <f>IF(AND(Inputs!$B$15&gt;=R$28,Inputs!$B$15&lt;R$29),$B$18,0)</f>
        <v/>
      </c>
      <c r="S36" s="15">
        <f>IF(AND(Inputs!$B$15&gt;=S$28,Inputs!$B$15&lt;S$29),$B$18,0)</f>
        <v/>
      </c>
      <c r="T36" s="15">
        <f>IF(AND(Inputs!$B$15&gt;=T$28,Inputs!$B$15&lt;T$29),$B$18,0)</f>
        <v/>
      </c>
      <c r="U36" s="15">
        <f>IF(AND(Inputs!$B$15&gt;=U$28,Inputs!$B$15&lt;U$29),$B$18,0)</f>
        <v/>
      </c>
    </row>
    <row r="37">
      <c r="A37" s="6" t="inlineStr">
        <is>
          <t xml:space="preserve">  Hard Construction</t>
        </is>
      </c>
      <c r="B37" s="15">
        <f>$B$19*B$31</f>
        <v/>
      </c>
      <c r="C37" s="15">
        <f>$B$19*C$31</f>
        <v/>
      </c>
      <c r="D37" s="15">
        <f>$B$19*D$31</f>
        <v/>
      </c>
      <c r="E37" s="15">
        <f>$B$19*E$31</f>
        <v/>
      </c>
      <c r="F37" s="15">
        <f>$B$19*F$31</f>
        <v/>
      </c>
      <c r="G37" s="15">
        <f>$B$19*G$31</f>
        <v/>
      </c>
      <c r="H37" s="15">
        <f>$B$19*H$31</f>
        <v/>
      </c>
      <c r="I37" s="15">
        <f>$B$19*I$31</f>
        <v/>
      </c>
      <c r="J37" s="15">
        <f>$B$19*J$31</f>
        <v/>
      </c>
      <c r="K37" s="15">
        <f>$B$19*K$31</f>
        <v/>
      </c>
      <c r="L37" s="15">
        <f>$B$19*L$31</f>
        <v/>
      </c>
      <c r="M37" s="15">
        <f>$B$19*M$31</f>
        <v/>
      </c>
      <c r="N37" s="15">
        <f>$B$19*N$31</f>
        <v/>
      </c>
      <c r="O37" s="15">
        <f>$B$19*O$31</f>
        <v/>
      </c>
      <c r="P37" s="15">
        <f>$B$19*P$31</f>
        <v/>
      </c>
      <c r="Q37" s="15">
        <f>$B$19*Q$31</f>
        <v/>
      </c>
      <c r="R37" s="15">
        <f>$B$19*R$31</f>
        <v/>
      </c>
      <c r="S37" s="15">
        <f>$B$19*S$31</f>
        <v/>
      </c>
      <c r="T37" s="15">
        <f>$B$19*T$31</f>
        <v/>
      </c>
      <c r="U37" s="15">
        <f>$B$19*U$31</f>
        <v/>
      </c>
    </row>
    <row r="38">
      <c r="A38" s="6" t="inlineStr">
        <is>
          <t xml:space="preserve">  Soft Costs</t>
        </is>
      </c>
      <c r="B38" s="15">
        <f>$B$20*B$31</f>
        <v/>
      </c>
      <c r="C38" s="15">
        <f>$B$20*C$31</f>
        <v/>
      </c>
      <c r="D38" s="15">
        <f>$B$20*D$31</f>
        <v/>
      </c>
      <c r="E38" s="15">
        <f>$B$20*E$31</f>
        <v/>
      </c>
      <c r="F38" s="15">
        <f>$B$20*F$31</f>
        <v/>
      </c>
      <c r="G38" s="15">
        <f>$B$20*G$31</f>
        <v/>
      </c>
      <c r="H38" s="15">
        <f>$B$20*H$31</f>
        <v/>
      </c>
      <c r="I38" s="15">
        <f>$B$20*I$31</f>
        <v/>
      </c>
      <c r="J38" s="15">
        <f>$B$20*J$31</f>
        <v/>
      </c>
      <c r="K38" s="15">
        <f>$B$20*K$31</f>
        <v/>
      </c>
      <c r="L38" s="15">
        <f>$B$20*L$31</f>
        <v/>
      </c>
      <c r="M38" s="15">
        <f>$B$20*M$31</f>
        <v/>
      </c>
      <c r="N38" s="15">
        <f>$B$20*N$31</f>
        <v/>
      </c>
      <c r="O38" s="15">
        <f>$B$20*O$31</f>
        <v/>
      </c>
      <c r="P38" s="15">
        <f>$B$20*P$31</f>
        <v/>
      </c>
      <c r="Q38" s="15">
        <f>$B$20*Q$31</f>
        <v/>
      </c>
      <c r="R38" s="15">
        <f>$B$20*R$31</f>
        <v/>
      </c>
      <c r="S38" s="15">
        <f>$B$20*S$31</f>
        <v/>
      </c>
      <c r="T38" s="15">
        <f>$B$20*T$31</f>
        <v/>
      </c>
      <c r="U38" s="15">
        <f>$B$20*U$31</f>
        <v/>
      </c>
    </row>
    <row r="39">
      <c r="A39" s="6" t="inlineStr">
        <is>
          <t xml:space="preserve">  Approvals &amp; Fees</t>
        </is>
      </c>
      <c r="B39" s="15">
        <f>$B$21*B$31</f>
        <v/>
      </c>
      <c r="C39" s="15">
        <f>$B$21*C$31</f>
        <v/>
      </c>
      <c r="D39" s="15">
        <f>$B$21*D$31</f>
        <v/>
      </c>
      <c r="E39" s="15">
        <f>$B$21*E$31</f>
        <v/>
      </c>
      <c r="F39" s="15">
        <f>$B$21*F$31</f>
        <v/>
      </c>
      <c r="G39" s="15">
        <f>$B$21*G$31</f>
        <v/>
      </c>
      <c r="H39" s="15">
        <f>$B$21*H$31</f>
        <v/>
      </c>
      <c r="I39" s="15">
        <f>$B$21*I$31</f>
        <v/>
      </c>
      <c r="J39" s="15">
        <f>$B$21*J$31</f>
        <v/>
      </c>
      <c r="K39" s="15">
        <f>$B$21*K$31</f>
        <v/>
      </c>
      <c r="L39" s="15">
        <f>$B$21*L$31</f>
        <v/>
      </c>
      <c r="M39" s="15">
        <f>$B$21*M$31</f>
        <v/>
      </c>
      <c r="N39" s="15">
        <f>$B$21*N$31</f>
        <v/>
      </c>
      <c r="O39" s="15">
        <f>$B$21*O$31</f>
        <v/>
      </c>
      <c r="P39" s="15">
        <f>$B$21*P$31</f>
        <v/>
      </c>
      <c r="Q39" s="15">
        <f>$B$21*Q$31</f>
        <v/>
      </c>
      <c r="R39" s="15">
        <f>$B$21*R$31</f>
        <v/>
      </c>
      <c r="S39" s="15">
        <f>$B$21*S$31</f>
        <v/>
      </c>
      <c r="T39" s="15">
        <f>$B$21*T$31</f>
        <v/>
      </c>
      <c r="U39" s="15">
        <f>$B$21*U$31</f>
        <v/>
      </c>
    </row>
    <row r="40">
      <c r="A40" s="6" t="inlineStr">
        <is>
          <t xml:space="preserve">  Contingency</t>
        </is>
      </c>
      <c r="B40" s="15">
        <f>$B$22*B$31</f>
        <v/>
      </c>
      <c r="C40" s="15">
        <f>$B$22*C$31</f>
        <v/>
      </c>
      <c r="D40" s="15">
        <f>$B$22*D$31</f>
        <v/>
      </c>
      <c r="E40" s="15">
        <f>$B$22*E$31</f>
        <v/>
      </c>
      <c r="F40" s="15">
        <f>$B$22*F$31</f>
        <v/>
      </c>
      <c r="G40" s="15">
        <f>$B$22*G$31</f>
        <v/>
      </c>
      <c r="H40" s="15">
        <f>$B$22*H$31</f>
        <v/>
      </c>
      <c r="I40" s="15">
        <f>$B$22*I$31</f>
        <v/>
      </c>
      <c r="J40" s="15">
        <f>$B$22*J$31</f>
        <v/>
      </c>
      <c r="K40" s="15">
        <f>$B$22*K$31</f>
        <v/>
      </c>
      <c r="L40" s="15">
        <f>$B$22*L$31</f>
        <v/>
      </c>
      <c r="M40" s="15">
        <f>$B$22*M$31</f>
        <v/>
      </c>
      <c r="N40" s="15">
        <f>$B$22*N$31</f>
        <v/>
      </c>
      <c r="O40" s="15">
        <f>$B$22*O$31</f>
        <v/>
      </c>
      <c r="P40" s="15">
        <f>$B$22*P$31</f>
        <v/>
      </c>
      <c r="Q40" s="15">
        <f>$B$22*Q$31</f>
        <v/>
      </c>
      <c r="R40" s="15">
        <f>$B$22*R$31</f>
        <v/>
      </c>
      <c r="S40" s="15">
        <f>$B$22*S$31</f>
        <v/>
      </c>
      <c r="T40" s="15">
        <f>$B$22*T$31</f>
        <v/>
      </c>
      <c r="U40" s="15">
        <f>$B$22*U$31</f>
        <v/>
      </c>
    </row>
    <row r="41">
      <c r="A41" s="7" t="inlineStr">
        <is>
          <t>Total Dev Outflow</t>
        </is>
      </c>
      <c r="B41" s="35">
        <f>SUM(B37:B40)</f>
        <v/>
      </c>
      <c r="C41" s="35">
        <f>SUM(C37:C40)</f>
        <v/>
      </c>
      <c r="D41" s="35">
        <f>SUM(D37:D40)</f>
        <v/>
      </c>
      <c r="E41" s="35">
        <f>SUM(E37:E40)</f>
        <v/>
      </c>
      <c r="F41" s="35">
        <f>SUM(F37:F40)</f>
        <v/>
      </c>
      <c r="G41" s="35">
        <f>SUM(G37:G40)</f>
        <v/>
      </c>
      <c r="H41" s="35">
        <f>SUM(H37:H40)</f>
        <v/>
      </c>
      <c r="I41" s="35">
        <f>SUM(I37:I40)</f>
        <v/>
      </c>
      <c r="J41" s="35">
        <f>SUM(J37:J40)</f>
        <v/>
      </c>
      <c r="K41" s="35">
        <f>SUM(K37:K40)</f>
        <v/>
      </c>
      <c r="L41" s="35">
        <f>SUM(L37:L40)</f>
        <v/>
      </c>
      <c r="M41" s="35">
        <f>SUM(M37:M40)</f>
        <v/>
      </c>
      <c r="N41" s="35">
        <f>SUM(N37:N40)</f>
        <v/>
      </c>
      <c r="O41" s="35">
        <f>SUM(O37:O40)</f>
        <v/>
      </c>
      <c r="P41" s="35">
        <f>SUM(P37:P40)</f>
        <v/>
      </c>
      <c r="Q41" s="35">
        <f>SUM(Q37:Q40)</f>
        <v/>
      </c>
      <c r="R41" s="35">
        <f>SUM(R37:R40)</f>
        <v/>
      </c>
      <c r="S41" s="35">
        <f>SUM(S37:S40)</f>
        <v/>
      </c>
      <c r="T41" s="35">
        <f>SUM(T37:T40)</f>
        <v/>
      </c>
      <c r="U41" s="35">
        <f>SUM(U37:U40)</f>
        <v/>
      </c>
    </row>
    <row r="42">
      <c r="A42" s="7" t="inlineStr">
        <is>
          <t>TOTAL OUTFLOW</t>
        </is>
      </c>
      <c r="B42" s="35">
        <f>B36+B41</f>
        <v/>
      </c>
      <c r="C42" s="35">
        <f>C36+C41</f>
        <v/>
      </c>
      <c r="D42" s="35">
        <f>D36+D41</f>
        <v/>
      </c>
      <c r="E42" s="35">
        <f>E36+E41</f>
        <v/>
      </c>
      <c r="F42" s="35">
        <f>F36+F41</f>
        <v/>
      </c>
      <c r="G42" s="35">
        <f>G36+G41</f>
        <v/>
      </c>
      <c r="H42" s="35">
        <f>H36+H41</f>
        <v/>
      </c>
      <c r="I42" s="35">
        <f>I36+I41</f>
        <v/>
      </c>
      <c r="J42" s="35">
        <f>J36+J41</f>
        <v/>
      </c>
      <c r="K42" s="35">
        <f>K36+K41</f>
        <v/>
      </c>
      <c r="L42" s="35">
        <f>L36+L41</f>
        <v/>
      </c>
      <c r="M42" s="35">
        <f>M36+M41</f>
        <v/>
      </c>
      <c r="N42" s="35">
        <f>N36+N41</f>
        <v/>
      </c>
      <c r="O42" s="35">
        <f>O36+O41</f>
        <v/>
      </c>
      <c r="P42" s="35">
        <f>P36+P41</f>
        <v/>
      </c>
      <c r="Q42" s="35">
        <f>Q36+Q41</f>
        <v/>
      </c>
      <c r="R42" s="35">
        <f>R36+R41</f>
        <v/>
      </c>
      <c r="S42" s="35">
        <f>S36+S41</f>
        <v/>
      </c>
      <c r="T42" s="35">
        <f>T36+T41</f>
        <v/>
      </c>
      <c r="U42" s="35">
        <f>U36+U41</f>
        <v/>
      </c>
    </row>
    <row r="44">
      <c r="A44" s="6" t="inlineStr">
        <is>
          <t xml:space="preserve">  Absorption Gross Revenue</t>
        </is>
      </c>
      <c r="B44" s="15">
        <f>$B$12*$B$13*B$32*(1+Inputs!$B$29)^(B$34/12)/10000000</f>
        <v/>
      </c>
      <c r="C44" s="15">
        <f>$B$12*$B$13*C$32*(1+Inputs!$B$29)^(C$34/12)/10000000</f>
        <v/>
      </c>
      <c r="D44" s="15">
        <f>$B$12*$B$13*D$32*(1+Inputs!$B$29)^(D$34/12)/10000000</f>
        <v/>
      </c>
      <c r="E44" s="15">
        <f>$B$12*$B$13*E$32*(1+Inputs!$B$29)^(E$34/12)/10000000</f>
        <v/>
      </c>
      <c r="F44" s="15">
        <f>$B$12*$B$13*F$32*(1+Inputs!$B$29)^(F$34/12)/10000000</f>
        <v/>
      </c>
      <c r="G44" s="15">
        <f>$B$12*$B$13*G$32*(1+Inputs!$B$29)^(G$34/12)/10000000</f>
        <v/>
      </c>
      <c r="H44" s="15">
        <f>$B$12*$B$13*H$32*(1+Inputs!$B$29)^(H$34/12)/10000000</f>
        <v/>
      </c>
      <c r="I44" s="15">
        <f>$B$12*$B$13*I$32*(1+Inputs!$B$29)^(I$34/12)/10000000</f>
        <v/>
      </c>
      <c r="J44" s="15">
        <f>$B$12*$B$13*J$32*(1+Inputs!$B$29)^(J$34/12)/10000000</f>
        <v/>
      </c>
      <c r="K44" s="15">
        <f>$B$12*$B$13*K$32*(1+Inputs!$B$29)^(K$34/12)/10000000</f>
        <v/>
      </c>
      <c r="L44" s="15">
        <f>$B$12*$B$13*L$32*(1+Inputs!$B$29)^(L$34/12)/10000000</f>
        <v/>
      </c>
      <c r="M44" s="15">
        <f>$B$12*$B$13*M$32*(1+Inputs!$B$29)^(M$34/12)/10000000</f>
        <v/>
      </c>
      <c r="N44" s="15">
        <f>$B$12*$B$13*N$32*(1+Inputs!$B$29)^(N$34/12)/10000000</f>
        <v/>
      </c>
      <c r="O44" s="15">
        <f>$B$12*$B$13*O$32*(1+Inputs!$B$29)^(O$34/12)/10000000</f>
        <v/>
      </c>
      <c r="P44" s="15">
        <f>$B$12*$B$13*P$32*(1+Inputs!$B$29)^(P$34/12)/10000000</f>
        <v/>
      </c>
      <c r="Q44" s="15">
        <f>$B$12*$B$13*Q$32*(1+Inputs!$B$29)^(Q$34/12)/10000000</f>
        <v/>
      </c>
      <c r="R44" s="15">
        <f>$B$12*$B$13*R$32*(1+Inputs!$B$29)^(R$34/12)/10000000</f>
        <v/>
      </c>
      <c r="S44" s="15">
        <f>$B$12*$B$13*S$32*(1+Inputs!$B$29)^(S$34/12)/10000000</f>
        <v/>
      </c>
      <c r="T44" s="15">
        <f>$B$12*$B$13*T$32*(1+Inputs!$B$29)^(T$34/12)/10000000</f>
        <v/>
      </c>
      <c r="U44" s="15">
        <f>$B$12*$B$13*U$32*(1+Inputs!$B$29)^(U$34/12)/10000000</f>
        <v/>
      </c>
    </row>
    <row r="45">
      <c r="A45" s="6" t="inlineStr">
        <is>
          <t xml:space="preserve">  Exit Gross Revenue</t>
        </is>
      </c>
      <c r="B45" s="15">
        <f>$B$12*Inputs!$B$47*$B$13*Inputs!$B$48*$B$7*(1+Inputs!$B$29)^(B$34/12)*B$33/10000000</f>
        <v/>
      </c>
      <c r="C45" s="15">
        <f>$B$12*Inputs!$B$47*$B$13*Inputs!$B$48*$B$7*(1+Inputs!$B$29)^(C$34/12)*C$33/10000000</f>
        <v/>
      </c>
      <c r="D45" s="15">
        <f>$B$12*Inputs!$B$47*$B$13*Inputs!$B$48*$B$7*(1+Inputs!$B$29)^(D$34/12)*D$33/10000000</f>
        <v/>
      </c>
      <c r="E45" s="15">
        <f>$B$12*Inputs!$B$47*$B$13*Inputs!$B$48*$B$7*(1+Inputs!$B$29)^(E$34/12)*E$33/10000000</f>
        <v/>
      </c>
      <c r="F45" s="15">
        <f>$B$12*Inputs!$B$47*$B$13*Inputs!$B$48*$B$7*(1+Inputs!$B$29)^(F$34/12)*F$33/10000000</f>
        <v/>
      </c>
      <c r="G45" s="15">
        <f>$B$12*Inputs!$B$47*$B$13*Inputs!$B$48*$B$7*(1+Inputs!$B$29)^(G$34/12)*G$33/10000000</f>
        <v/>
      </c>
      <c r="H45" s="15">
        <f>$B$12*Inputs!$B$47*$B$13*Inputs!$B$48*$B$7*(1+Inputs!$B$29)^(H$34/12)*H$33/10000000</f>
        <v/>
      </c>
      <c r="I45" s="15">
        <f>$B$12*Inputs!$B$47*$B$13*Inputs!$B$48*$B$7*(1+Inputs!$B$29)^(I$34/12)*I$33/10000000</f>
        <v/>
      </c>
      <c r="J45" s="15">
        <f>$B$12*Inputs!$B$47*$B$13*Inputs!$B$48*$B$7*(1+Inputs!$B$29)^(J$34/12)*J$33/10000000</f>
        <v/>
      </c>
      <c r="K45" s="15">
        <f>$B$12*Inputs!$B$47*$B$13*Inputs!$B$48*$B$7*(1+Inputs!$B$29)^(K$34/12)*K$33/10000000</f>
        <v/>
      </c>
      <c r="L45" s="15">
        <f>$B$12*Inputs!$B$47*$B$13*Inputs!$B$48*$B$7*(1+Inputs!$B$29)^(L$34/12)*L$33/10000000</f>
        <v/>
      </c>
      <c r="M45" s="15">
        <f>$B$12*Inputs!$B$47*$B$13*Inputs!$B$48*$B$7*(1+Inputs!$B$29)^(M$34/12)*M$33/10000000</f>
        <v/>
      </c>
      <c r="N45" s="15">
        <f>$B$12*Inputs!$B$47*$B$13*Inputs!$B$48*$B$7*(1+Inputs!$B$29)^(N$34/12)*N$33/10000000</f>
        <v/>
      </c>
      <c r="O45" s="15">
        <f>$B$12*Inputs!$B$47*$B$13*Inputs!$B$48*$B$7*(1+Inputs!$B$29)^(O$34/12)*O$33/10000000</f>
        <v/>
      </c>
      <c r="P45" s="15">
        <f>$B$12*Inputs!$B$47*$B$13*Inputs!$B$48*$B$7*(1+Inputs!$B$29)^(P$34/12)*P$33/10000000</f>
        <v/>
      </c>
      <c r="Q45" s="15">
        <f>$B$12*Inputs!$B$47*$B$13*Inputs!$B$48*$B$7*(1+Inputs!$B$29)^(Q$34/12)*Q$33/10000000</f>
        <v/>
      </c>
      <c r="R45" s="15">
        <f>$B$12*Inputs!$B$47*$B$13*Inputs!$B$48*$B$7*(1+Inputs!$B$29)^(R$34/12)*R$33/10000000</f>
        <v/>
      </c>
      <c r="S45" s="15">
        <f>$B$12*Inputs!$B$47*$B$13*Inputs!$B$48*$B$7*(1+Inputs!$B$29)^(S$34/12)*S$33/10000000</f>
        <v/>
      </c>
      <c r="T45" s="15">
        <f>$B$12*Inputs!$B$47*$B$13*Inputs!$B$48*$B$7*(1+Inputs!$B$29)^(T$34/12)*T$33/10000000</f>
        <v/>
      </c>
      <c r="U45" s="15">
        <f>$B$12*Inputs!$B$47*$B$13*Inputs!$B$48*$B$7*(1+Inputs!$B$29)^(U$34/12)*U$33/10000000</f>
        <v/>
      </c>
    </row>
    <row r="46">
      <c r="A46" s="42" t="inlineStr">
        <is>
          <t>Gross Revenue</t>
        </is>
      </c>
      <c r="B46" s="15">
        <f>B44+B45</f>
        <v/>
      </c>
      <c r="C46" s="15">
        <f>C44+C45</f>
        <v/>
      </c>
      <c r="D46" s="15">
        <f>D44+D45</f>
        <v/>
      </c>
      <c r="E46" s="15">
        <f>E44+E45</f>
        <v/>
      </c>
      <c r="F46" s="15">
        <f>F44+F45</f>
        <v/>
      </c>
      <c r="G46" s="15">
        <f>G44+G45</f>
        <v/>
      </c>
      <c r="H46" s="15">
        <f>H44+H45</f>
        <v/>
      </c>
      <c r="I46" s="15">
        <f>I44+I45</f>
        <v/>
      </c>
      <c r="J46" s="15">
        <f>J44+J45</f>
        <v/>
      </c>
      <c r="K46" s="15">
        <f>K44+K45</f>
        <v/>
      </c>
      <c r="L46" s="15">
        <f>L44+L45</f>
        <v/>
      </c>
      <c r="M46" s="15">
        <f>M44+M45</f>
        <v/>
      </c>
      <c r="N46" s="15">
        <f>N44+N45</f>
        <v/>
      </c>
      <c r="O46" s="15">
        <f>O44+O45</f>
        <v/>
      </c>
      <c r="P46" s="15">
        <f>P44+P45</f>
        <v/>
      </c>
      <c r="Q46" s="15">
        <f>Q44+Q45</f>
        <v/>
      </c>
      <c r="R46" s="15">
        <f>R44+R45</f>
        <v/>
      </c>
      <c r="S46" s="15">
        <f>S44+S45</f>
        <v/>
      </c>
      <c r="T46" s="15">
        <f>T44+T45</f>
        <v/>
      </c>
      <c r="U46" s="15">
        <f>U44+U45</f>
        <v/>
      </c>
    </row>
    <row r="47">
      <c r="A47" s="6" t="inlineStr">
        <is>
          <t xml:space="preserve">  Less: Sales Commission</t>
        </is>
      </c>
      <c r="B47" s="15">
        <f>-B46*Inputs!$B$32</f>
        <v/>
      </c>
      <c r="C47" s="15">
        <f>-C46*Inputs!$B$32</f>
        <v/>
      </c>
      <c r="D47" s="15">
        <f>-D46*Inputs!$B$32</f>
        <v/>
      </c>
      <c r="E47" s="15">
        <f>-E46*Inputs!$B$32</f>
        <v/>
      </c>
      <c r="F47" s="15">
        <f>-F46*Inputs!$B$32</f>
        <v/>
      </c>
      <c r="G47" s="15">
        <f>-G46*Inputs!$B$32</f>
        <v/>
      </c>
      <c r="H47" s="15">
        <f>-H46*Inputs!$B$32</f>
        <v/>
      </c>
      <c r="I47" s="15">
        <f>-I46*Inputs!$B$32</f>
        <v/>
      </c>
      <c r="J47" s="15">
        <f>-J46*Inputs!$B$32</f>
        <v/>
      </c>
      <c r="K47" s="15">
        <f>-K46*Inputs!$B$32</f>
        <v/>
      </c>
      <c r="L47" s="15">
        <f>-L46*Inputs!$B$32</f>
        <v/>
      </c>
      <c r="M47" s="15">
        <f>-M46*Inputs!$B$32</f>
        <v/>
      </c>
      <c r="N47" s="15">
        <f>-N46*Inputs!$B$32</f>
        <v/>
      </c>
      <c r="O47" s="15">
        <f>-O46*Inputs!$B$32</f>
        <v/>
      </c>
      <c r="P47" s="15">
        <f>-P46*Inputs!$B$32</f>
        <v/>
      </c>
      <c r="Q47" s="15">
        <f>-Q46*Inputs!$B$32</f>
        <v/>
      </c>
      <c r="R47" s="15">
        <f>-R46*Inputs!$B$32</f>
        <v/>
      </c>
      <c r="S47" s="15">
        <f>-S46*Inputs!$B$32</f>
        <v/>
      </c>
      <c r="T47" s="15">
        <f>-T46*Inputs!$B$32</f>
        <v/>
      </c>
      <c r="U47" s="15">
        <f>-U46*Inputs!$B$32</f>
        <v/>
      </c>
    </row>
    <row r="48">
      <c r="A48" s="6" t="inlineStr">
        <is>
          <t xml:space="preserve">  Less: GST &amp; Other</t>
        </is>
      </c>
      <c r="B48" s="15">
        <f>-B46*Inputs!$B$33</f>
        <v/>
      </c>
      <c r="C48" s="15">
        <f>-C46*Inputs!$B$33</f>
        <v/>
      </c>
      <c r="D48" s="15">
        <f>-D46*Inputs!$B$33</f>
        <v/>
      </c>
      <c r="E48" s="15">
        <f>-E46*Inputs!$B$33</f>
        <v/>
      </c>
      <c r="F48" s="15">
        <f>-F46*Inputs!$B$33</f>
        <v/>
      </c>
      <c r="G48" s="15">
        <f>-G46*Inputs!$B$33</f>
        <v/>
      </c>
      <c r="H48" s="15">
        <f>-H46*Inputs!$B$33</f>
        <v/>
      </c>
      <c r="I48" s="15">
        <f>-I46*Inputs!$B$33</f>
        <v/>
      </c>
      <c r="J48" s="15">
        <f>-J46*Inputs!$B$33</f>
        <v/>
      </c>
      <c r="K48" s="15">
        <f>-K46*Inputs!$B$33</f>
        <v/>
      </c>
      <c r="L48" s="15">
        <f>-L46*Inputs!$B$33</f>
        <v/>
      </c>
      <c r="M48" s="15">
        <f>-M46*Inputs!$B$33</f>
        <v/>
      </c>
      <c r="N48" s="15">
        <f>-N46*Inputs!$B$33</f>
        <v/>
      </c>
      <c r="O48" s="15">
        <f>-O46*Inputs!$B$33</f>
        <v/>
      </c>
      <c r="P48" s="15">
        <f>-P46*Inputs!$B$33</f>
        <v/>
      </c>
      <c r="Q48" s="15">
        <f>-Q46*Inputs!$B$33</f>
        <v/>
      </c>
      <c r="R48" s="15">
        <f>-R46*Inputs!$B$33</f>
        <v/>
      </c>
      <c r="S48" s="15">
        <f>-S46*Inputs!$B$33</f>
        <v/>
      </c>
      <c r="T48" s="15">
        <f>-T46*Inputs!$B$33</f>
        <v/>
      </c>
      <c r="U48" s="15">
        <f>-U46*Inputs!$B$33</f>
        <v/>
      </c>
    </row>
    <row r="49">
      <c r="A49" s="7" t="inlineStr">
        <is>
          <t>NET REVENUE</t>
        </is>
      </c>
      <c r="B49" s="35">
        <f>B46+B47+B48</f>
        <v/>
      </c>
      <c r="C49" s="35">
        <f>C46+C47+C48</f>
        <v/>
      </c>
      <c r="D49" s="35">
        <f>D46+D47+D48</f>
        <v/>
      </c>
      <c r="E49" s="35">
        <f>E46+E47+E48</f>
        <v/>
      </c>
      <c r="F49" s="35">
        <f>F46+F47+F48</f>
        <v/>
      </c>
      <c r="G49" s="35">
        <f>G46+G47+G48</f>
        <v/>
      </c>
      <c r="H49" s="35">
        <f>H46+H47+H48</f>
        <v/>
      </c>
      <c r="I49" s="35">
        <f>I46+I47+I48</f>
        <v/>
      </c>
      <c r="J49" s="35">
        <f>J46+J47+J48</f>
        <v/>
      </c>
      <c r="K49" s="35">
        <f>K46+K47+K48</f>
        <v/>
      </c>
      <c r="L49" s="35">
        <f>L46+L47+L48</f>
        <v/>
      </c>
      <c r="M49" s="35">
        <f>M46+M47+M48</f>
        <v/>
      </c>
      <c r="N49" s="35">
        <f>N46+N47+N48</f>
        <v/>
      </c>
      <c r="O49" s="35">
        <f>O46+O47+O48</f>
        <v/>
      </c>
      <c r="P49" s="35">
        <f>P46+P47+P48</f>
        <v/>
      </c>
      <c r="Q49" s="35">
        <f>Q46+Q47+Q48</f>
        <v/>
      </c>
      <c r="R49" s="35">
        <f>R46+R47+R48</f>
        <v/>
      </c>
      <c r="S49" s="35">
        <f>S46+S47+S48</f>
        <v/>
      </c>
      <c r="T49" s="35">
        <f>T46+T47+T48</f>
        <v/>
      </c>
      <c r="U49" s="35">
        <f>U46+U47+U48</f>
        <v/>
      </c>
    </row>
    <row r="51">
      <c r="A51" s="7" t="inlineStr">
        <is>
          <t>UNLEVERED CASH FLOW</t>
        </is>
      </c>
      <c r="B51" s="35">
        <f>B49-B42</f>
        <v/>
      </c>
      <c r="C51" s="35">
        <f>C49-C42</f>
        <v/>
      </c>
      <c r="D51" s="35">
        <f>D49-D42</f>
        <v/>
      </c>
      <c r="E51" s="35">
        <f>E49-E42</f>
        <v/>
      </c>
      <c r="F51" s="35">
        <f>F49-F42</f>
        <v/>
      </c>
      <c r="G51" s="35">
        <f>G49-G42</f>
        <v/>
      </c>
      <c r="H51" s="35">
        <f>H49-H42</f>
        <v/>
      </c>
      <c r="I51" s="35">
        <f>I49-I42</f>
        <v/>
      </c>
      <c r="J51" s="35">
        <f>J49-J42</f>
        <v/>
      </c>
      <c r="K51" s="35">
        <f>K49-K42</f>
        <v/>
      </c>
      <c r="L51" s="35">
        <f>L49-L42</f>
        <v/>
      </c>
      <c r="M51" s="35">
        <f>M49-M42</f>
        <v/>
      </c>
      <c r="N51" s="35">
        <f>N49-N42</f>
        <v/>
      </c>
      <c r="O51" s="35">
        <f>O49-O42</f>
        <v/>
      </c>
      <c r="P51" s="35">
        <f>P49-P42</f>
        <v/>
      </c>
      <c r="Q51" s="35">
        <f>Q49-Q42</f>
        <v/>
      </c>
      <c r="R51" s="35">
        <f>R49-R42</f>
        <v/>
      </c>
      <c r="S51" s="35">
        <f>S49-S42</f>
        <v/>
      </c>
      <c r="T51" s="35">
        <f>T49-T42</f>
        <v/>
      </c>
      <c r="U51" s="35">
        <f>U49-U42</f>
        <v/>
      </c>
    </row>
    <row r="53">
      <c r="A53" s="17" t="inlineStr">
        <is>
          <t xml:space="preserve">  Debt Draw</t>
        </is>
      </c>
      <c r="B53" s="15">
        <f>IF(AND(B$29&gt;Inputs!$B$38,B$28&lt;Inputs!$B$39),Inputs!$B$36*B$41,0)</f>
        <v/>
      </c>
      <c r="C53" s="15">
        <f>IF(AND(C$29&gt;Inputs!$B$38,C$28&lt;Inputs!$B$39),Inputs!$B$36*C$41,0)</f>
        <v/>
      </c>
      <c r="D53" s="15">
        <f>IF(AND(D$29&gt;Inputs!$B$38,D$28&lt;Inputs!$B$39),Inputs!$B$36*D$41,0)</f>
        <v/>
      </c>
      <c r="E53" s="15">
        <f>IF(AND(E$29&gt;Inputs!$B$38,E$28&lt;Inputs!$B$39),Inputs!$B$36*E$41,0)</f>
        <v/>
      </c>
      <c r="F53" s="15">
        <f>IF(AND(F$29&gt;Inputs!$B$38,F$28&lt;Inputs!$B$39),Inputs!$B$36*F$41,0)</f>
        <v/>
      </c>
      <c r="G53" s="15">
        <f>IF(AND(G$29&gt;Inputs!$B$38,G$28&lt;Inputs!$B$39),Inputs!$B$36*G$41,0)</f>
        <v/>
      </c>
      <c r="H53" s="15">
        <f>IF(AND(H$29&gt;Inputs!$B$38,H$28&lt;Inputs!$B$39),Inputs!$B$36*H$41,0)</f>
        <v/>
      </c>
      <c r="I53" s="15">
        <f>IF(AND(I$29&gt;Inputs!$B$38,I$28&lt;Inputs!$B$39),Inputs!$B$36*I$41,0)</f>
        <v/>
      </c>
      <c r="J53" s="15">
        <f>IF(AND(J$29&gt;Inputs!$B$38,J$28&lt;Inputs!$B$39),Inputs!$B$36*J$41,0)</f>
        <v/>
      </c>
      <c r="K53" s="15">
        <f>IF(AND(K$29&gt;Inputs!$B$38,K$28&lt;Inputs!$B$39),Inputs!$B$36*K$41,0)</f>
        <v/>
      </c>
      <c r="L53" s="15">
        <f>IF(AND(L$29&gt;Inputs!$B$38,L$28&lt;Inputs!$B$39),Inputs!$B$36*L$41,0)</f>
        <v/>
      </c>
      <c r="M53" s="15">
        <f>IF(AND(M$29&gt;Inputs!$B$38,M$28&lt;Inputs!$B$39),Inputs!$B$36*M$41,0)</f>
        <v/>
      </c>
      <c r="N53" s="15">
        <f>IF(AND(N$29&gt;Inputs!$B$38,N$28&lt;Inputs!$B$39),Inputs!$B$36*N$41,0)</f>
        <v/>
      </c>
      <c r="O53" s="15">
        <f>IF(AND(O$29&gt;Inputs!$B$38,O$28&lt;Inputs!$B$39),Inputs!$B$36*O$41,0)</f>
        <v/>
      </c>
      <c r="P53" s="15">
        <f>IF(AND(P$29&gt;Inputs!$B$38,P$28&lt;Inputs!$B$39),Inputs!$B$36*P$41,0)</f>
        <v/>
      </c>
      <c r="Q53" s="15">
        <f>IF(AND(Q$29&gt;Inputs!$B$38,Q$28&lt;Inputs!$B$39),Inputs!$B$36*Q$41,0)</f>
        <v/>
      </c>
      <c r="R53" s="15">
        <f>IF(AND(R$29&gt;Inputs!$B$38,R$28&lt;Inputs!$B$39),Inputs!$B$36*R$41,0)</f>
        <v/>
      </c>
      <c r="S53" s="15">
        <f>IF(AND(S$29&gt;Inputs!$B$38,S$28&lt;Inputs!$B$39),Inputs!$B$36*S$41,0)</f>
        <v/>
      </c>
      <c r="T53" s="15">
        <f>IF(AND(T$29&gt;Inputs!$B$38,T$28&lt;Inputs!$B$39),Inputs!$B$36*T$41,0)</f>
        <v/>
      </c>
      <c r="U53" s="15">
        <f>IF(AND(U$29&gt;Inputs!$B$38,U$28&lt;Inputs!$B$39),Inputs!$B$36*U$41,0)</f>
        <v/>
      </c>
    </row>
    <row r="54">
      <c r="A54" s="17" t="inlineStr">
        <is>
          <t xml:space="preserve">  Opening Debt</t>
        </is>
      </c>
      <c r="B54" s="15" t="n">
        <v>0</v>
      </c>
      <c r="C54" s="15">
        <f>B58</f>
        <v/>
      </c>
      <c r="D54" s="15">
        <f>C58</f>
        <v/>
      </c>
      <c r="E54" s="15">
        <f>D58</f>
        <v/>
      </c>
      <c r="F54" s="15">
        <f>E58</f>
        <v/>
      </c>
      <c r="G54" s="15">
        <f>F58</f>
        <v/>
      </c>
      <c r="H54" s="15">
        <f>G58</f>
        <v/>
      </c>
      <c r="I54" s="15">
        <f>H58</f>
        <v/>
      </c>
      <c r="J54" s="15">
        <f>I58</f>
        <v/>
      </c>
      <c r="K54" s="15">
        <f>J58</f>
        <v/>
      </c>
      <c r="L54" s="15">
        <f>K58</f>
        <v/>
      </c>
      <c r="M54" s="15">
        <f>L58</f>
        <v/>
      </c>
      <c r="N54" s="15">
        <f>M58</f>
        <v/>
      </c>
      <c r="O54" s="15">
        <f>N58</f>
        <v/>
      </c>
      <c r="P54" s="15">
        <f>O58</f>
        <v/>
      </c>
      <c r="Q54" s="15">
        <f>P58</f>
        <v/>
      </c>
      <c r="R54" s="15">
        <f>Q58</f>
        <v/>
      </c>
      <c r="S54" s="15">
        <f>R58</f>
        <v/>
      </c>
      <c r="T54" s="15">
        <f>S58</f>
        <v/>
      </c>
      <c r="U54" s="15">
        <f>T58</f>
        <v/>
      </c>
    </row>
    <row r="55">
      <c r="A55" s="17" t="inlineStr">
        <is>
          <t xml:space="preserve">  Interest Accrued</t>
        </is>
      </c>
      <c r="B55" s="15">
        <f>B54*$B$15</f>
        <v/>
      </c>
      <c r="C55" s="15">
        <f>C54*$B$15</f>
        <v/>
      </c>
      <c r="D55" s="15">
        <f>D54*$B$15</f>
        <v/>
      </c>
      <c r="E55" s="15">
        <f>E54*$B$15</f>
        <v/>
      </c>
      <c r="F55" s="15">
        <f>F54*$B$15</f>
        <v/>
      </c>
      <c r="G55" s="15">
        <f>G54*$B$15</f>
        <v/>
      </c>
      <c r="H55" s="15">
        <f>H54*$B$15</f>
        <v/>
      </c>
      <c r="I55" s="15">
        <f>I54*$B$15</f>
        <v/>
      </c>
      <c r="J55" s="15">
        <f>J54*$B$15</f>
        <v/>
      </c>
      <c r="K55" s="15">
        <f>K54*$B$15</f>
        <v/>
      </c>
      <c r="L55" s="15">
        <f>L54*$B$15</f>
        <v/>
      </c>
      <c r="M55" s="15">
        <f>M54*$B$15</f>
        <v/>
      </c>
      <c r="N55" s="15">
        <f>N54*$B$15</f>
        <v/>
      </c>
      <c r="O55" s="15">
        <f>O54*$B$15</f>
        <v/>
      </c>
      <c r="P55" s="15">
        <f>P54*$B$15</f>
        <v/>
      </c>
      <c r="Q55" s="15">
        <f>Q54*$B$15</f>
        <v/>
      </c>
      <c r="R55" s="15">
        <f>R54*$B$15</f>
        <v/>
      </c>
      <c r="S55" s="15">
        <f>S54*$B$15</f>
        <v/>
      </c>
      <c r="T55" s="15">
        <f>T54*$B$15</f>
        <v/>
      </c>
      <c r="U55" s="15">
        <f>U54*$B$15</f>
        <v/>
      </c>
    </row>
    <row r="56">
      <c r="A56" s="17" t="inlineStr">
        <is>
          <t xml:space="preserve">  Interest Paid</t>
        </is>
      </c>
      <c r="B56" s="15">
        <f>IF(B$29&lt;=Inputs!$B$24+Inputs!$B$25,0,MIN(B55,MAX(0,B51)))</f>
        <v/>
      </c>
      <c r="C56" s="15">
        <f>IF(C$29&lt;=Inputs!$B$24+Inputs!$B$25,0,MIN(C55,MAX(0,C51)))</f>
        <v/>
      </c>
      <c r="D56" s="15">
        <f>IF(D$29&lt;=Inputs!$B$24+Inputs!$B$25,0,MIN(D55,MAX(0,D51)))</f>
        <v/>
      </c>
      <c r="E56" s="15">
        <f>IF(E$29&lt;=Inputs!$B$24+Inputs!$B$25,0,MIN(E55,MAX(0,E51)))</f>
        <v/>
      </c>
      <c r="F56" s="15">
        <f>IF(F$29&lt;=Inputs!$B$24+Inputs!$B$25,0,MIN(F55,MAX(0,F51)))</f>
        <v/>
      </c>
      <c r="G56" s="15">
        <f>IF(G$29&lt;=Inputs!$B$24+Inputs!$B$25,0,MIN(G55,MAX(0,G51)))</f>
        <v/>
      </c>
      <c r="H56" s="15">
        <f>IF(H$29&lt;=Inputs!$B$24+Inputs!$B$25,0,MIN(H55,MAX(0,H51)))</f>
        <v/>
      </c>
      <c r="I56" s="15">
        <f>IF(I$29&lt;=Inputs!$B$24+Inputs!$B$25,0,MIN(I55,MAX(0,I51)))</f>
        <v/>
      </c>
      <c r="J56" s="15">
        <f>IF(J$29&lt;=Inputs!$B$24+Inputs!$B$25,0,MIN(J55,MAX(0,J51)))</f>
        <v/>
      </c>
      <c r="K56" s="15">
        <f>IF(K$29&lt;=Inputs!$B$24+Inputs!$B$25,0,MIN(K55,MAX(0,K51)))</f>
        <v/>
      </c>
      <c r="L56" s="15">
        <f>IF(L$29&lt;=Inputs!$B$24+Inputs!$B$25,0,MIN(L55,MAX(0,L51)))</f>
        <v/>
      </c>
      <c r="M56" s="15">
        <f>IF(M$29&lt;=Inputs!$B$24+Inputs!$B$25,0,MIN(M55,MAX(0,M51)))</f>
        <v/>
      </c>
      <c r="N56" s="15">
        <f>IF(N$29&lt;=Inputs!$B$24+Inputs!$B$25,0,MIN(N55,MAX(0,N51)))</f>
        <v/>
      </c>
      <c r="O56" s="15">
        <f>IF(O$29&lt;=Inputs!$B$24+Inputs!$B$25,0,MIN(O55,MAX(0,O51)))</f>
        <v/>
      </c>
      <c r="P56" s="15">
        <f>IF(P$29&lt;=Inputs!$B$24+Inputs!$B$25,0,MIN(P55,MAX(0,P51)))</f>
        <v/>
      </c>
      <c r="Q56" s="15">
        <f>IF(Q$29&lt;=Inputs!$B$24+Inputs!$B$25,0,MIN(Q55,MAX(0,Q51)))</f>
        <v/>
      </c>
      <c r="R56" s="15">
        <f>IF(R$29&lt;=Inputs!$B$24+Inputs!$B$25,0,MIN(R55,MAX(0,R51)))</f>
        <v/>
      </c>
      <c r="S56" s="15">
        <f>IF(S$29&lt;=Inputs!$B$24+Inputs!$B$25,0,MIN(S55,MAX(0,S51)))</f>
        <v/>
      </c>
      <c r="T56" s="15">
        <f>IF(T$29&lt;=Inputs!$B$24+Inputs!$B$25,0,MIN(T55,MAX(0,T51)))</f>
        <v/>
      </c>
      <c r="U56" s="15">
        <f>IF(U$29&lt;=Inputs!$B$24+Inputs!$B$25,0,MIN(U55,MAX(0,U51)))</f>
        <v/>
      </c>
    </row>
    <row r="57">
      <c r="A57" s="17" t="inlineStr">
        <is>
          <t xml:space="preserve">  Principal Paid</t>
        </is>
      </c>
      <c r="B57" s="15">
        <f>IF(B$27=Inputs!$B$44,B54+B53+B55-B56,IF(B$29&lt;=Inputs!$B$24+Inputs!$B$25,0,MIN(B54+B53+B55-B56,MAX(0,B51-B56))))</f>
        <v/>
      </c>
      <c r="C57" s="15">
        <f>IF(C$27=Inputs!$B$44,C54+C53+C55-C56,IF(C$29&lt;=Inputs!$B$24+Inputs!$B$25,0,MIN(C54+C53+C55-C56,MAX(0,C51-C56))))</f>
        <v/>
      </c>
      <c r="D57" s="15">
        <f>IF(D$27=Inputs!$B$44,D54+D53+D55-D56,IF(D$29&lt;=Inputs!$B$24+Inputs!$B$25,0,MIN(D54+D53+D55-D56,MAX(0,D51-D56))))</f>
        <v/>
      </c>
      <c r="E57" s="15">
        <f>IF(E$27=Inputs!$B$44,E54+E53+E55-E56,IF(E$29&lt;=Inputs!$B$24+Inputs!$B$25,0,MIN(E54+E53+E55-E56,MAX(0,E51-E56))))</f>
        <v/>
      </c>
      <c r="F57" s="15">
        <f>IF(F$27=Inputs!$B$44,F54+F53+F55-F56,IF(F$29&lt;=Inputs!$B$24+Inputs!$B$25,0,MIN(F54+F53+F55-F56,MAX(0,F51-F56))))</f>
        <v/>
      </c>
      <c r="G57" s="15">
        <f>IF(G$27=Inputs!$B$44,G54+G53+G55-G56,IF(G$29&lt;=Inputs!$B$24+Inputs!$B$25,0,MIN(G54+G53+G55-G56,MAX(0,G51-G56))))</f>
        <v/>
      </c>
      <c r="H57" s="15">
        <f>IF(H$27=Inputs!$B$44,H54+H53+H55-H56,IF(H$29&lt;=Inputs!$B$24+Inputs!$B$25,0,MIN(H54+H53+H55-H56,MAX(0,H51-H56))))</f>
        <v/>
      </c>
      <c r="I57" s="15">
        <f>IF(I$27=Inputs!$B$44,I54+I53+I55-I56,IF(I$29&lt;=Inputs!$B$24+Inputs!$B$25,0,MIN(I54+I53+I55-I56,MAX(0,I51-I56))))</f>
        <v/>
      </c>
      <c r="J57" s="15">
        <f>IF(J$27=Inputs!$B$44,J54+J53+J55-J56,IF(J$29&lt;=Inputs!$B$24+Inputs!$B$25,0,MIN(J54+J53+J55-J56,MAX(0,J51-J56))))</f>
        <v/>
      </c>
      <c r="K57" s="15">
        <f>IF(K$27=Inputs!$B$44,K54+K53+K55-K56,IF(K$29&lt;=Inputs!$B$24+Inputs!$B$25,0,MIN(K54+K53+K55-K56,MAX(0,K51-K56))))</f>
        <v/>
      </c>
      <c r="L57" s="15">
        <f>IF(L$27=Inputs!$B$44,L54+L53+L55-L56,IF(L$29&lt;=Inputs!$B$24+Inputs!$B$25,0,MIN(L54+L53+L55-L56,MAX(0,L51-L56))))</f>
        <v/>
      </c>
      <c r="M57" s="15">
        <f>IF(M$27=Inputs!$B$44,M54+M53+M55-M56,IF(M$29&lt;=Inputs!$B$24+Inputs!$B$25,0,MIN(M54+M53+M55-M56,MAX(0,M51-M56))))</f>
        <v/>
      </c>
      <c r="N57" s="15">
        <f>IF(N$27=Inputs!$B$44,N54+N53+N55-N56,IF(N$29&lt;=Inputs!$B$24+Inputs!$B$25,0,MIN(N54+N53+N55-N56,MAX(0,N51-N56))))</f>
        <v/>
      </c>
      <c r="O57" s="15">
        <f>IF(O$27=Inputs!$B$44,O54+O53+O55-O56,IF(O$29&lt;=Inputs!$B$24+Inputs!$B$25,0,MIN(O54+O53+O55-O56,MAX(0,O51-O56))))</f>
        <v/>
      </c>
      <c r="P57" s="15">
        <f>IF(P$27=Inputs!$B$44,P54+P53+P55-P56,IF(P$29&lt;=Inputs!$B$24+Inputs!$B$25,0,MIN(P54+P53+P55-P56,MAX(0,P51-P56))))</f>
        <v/>
      </c>
      <c r="Q57" s="15">
        <f>IF(Q$27=Inputs!$B$44,Q54+Q53+Q55-Q56,IF(Q$29&lt;=Inputs!$B$24+Inputs!$B$25,0,MIN(Q54+Q53+Q55-Q56,MAX(0,Q51-Q56))))</f>
        <v/>
      </c>
      <c r="R57" s="15">
        <f>IF(R$27=Inputs!$B$44,R54+R53+R55-R56,IF(R$29&lt;=Inputs!$B$24+Inputs!$B$25,0,MIN(R54+R53+R55-R56,MAX(0,R51-R56))))</f>
        <v/>
      </c>
      <c r="S57" s="15">
        <f>IF(S$27=Inputs!$B$44,S54+S53+S55-S56,IF(S$29&lt;=Inputs!$B$24+Inputs!$B$25,0,MIN(S54+S53+S55-S56,MAX(0,S51-S56))))</f>
        <v/>
      </c>
      <c r="T57" s="15">
        <f>IF(T$27=Inputs!$B$44,T54+T53+T55-T56,IF(T$29&lt;=Inputs!$B$24+Inputs!$B$25,0,MIN(T54+T53+T55-T56,MAX(0,T51-T56))))</f>
        <v/>
      </c>
      <c r="U57" s="15">
        <f>IF(U$27=Inputs!$B$44,U54+U53+U55-U56,IF(U$29&lt;=Inputs!$B$24+Inputs!$B$25,0,MIN(U54+U53+U55-U56,MAX(0,U51-U56))))</f>
        <v/>
      </c>
    </row>
    <row r="58">
      <c r="A58" s="13" t="inlineStr">
        <is>
          <t xml:space="preserve">  Closing Debt</t>
        </is>
      </c>
      <c r="B58" s="35">
        <f>B54+B53+B55-B56-B57</f>
        <v/>
      </c>
      <c r="C58" s="35">
        <f>C54+C53+C55-C56-C57</f>
        <v/>
      </c>
      <c r="D58" s="35">
        <f>D54+D53+D55-D56-D57</f>
        <v/>
      </c>
      <c r="E58" s="35">
        <f>E54+E53+E55-E56-E57</f>
        <v/>
      </c>
      <c r="F58" s="35">
        <f>F54+F53+F55-F56-F57</f>
        <v/>
      </c>
      <c r="G58" s="35">
        <f>G54+G53+G55-G56-G57</f>
        <v/>
      </c>
      <c r="H58" s="35">
        <f>H54+H53+H55-H56-H57</f>
        <v/>
      </c>
      <c r="I58" s="35">
        <f>I54+I53+I55-I56-I57</f>
        <v/>
      </c>
      <c r="J58" s="35">
        <f>J54+J53+J55-J56-J57</f>
        <v/>
      </c>
      <c r="K58" s="35">
        <f>K54+K53+K55-K56-K57</f>
        <v/>
      </c>
      <c r="L58" s="35">
        <f>L54+L53+L55-L56-L57</f>
        <v/>
      </c>
      <c r="M58" s="35">
        <f>M54+M53+M55-M56-M57</f>
        <v/>
      </c>
      <c r="N58" s="35">
        <f>N54+N53+N55-N56-N57</f>
        <v/>
      </c>
      <c r="O58" s="35">
        <f>O54+O53+O55-O56-O57</f>
        <v/>
      </c>
      <c r="P58" s="35">
        <f>P54+P53+P55-P56-P57</f>
        <v/>
      </c>
      <c r="Q58" s="35">
        <f>Q54+Q53+Q55-Q56-Q57</f>
        <v/>
      </c>
      <c r="R58" s="35">
        <f>R54+R53+R55-R56-R57</f>
        <v/>
      </c>
      <c r="S58" s="35">
        <f>S54+S53+S55-S56-S57</f>
        <v/>
      </c>
      <c r="T58" s="35">
        <f>T54+T53+T55-T56-T57</f>
        <v/>
      </c>
      <c r="U58" s="35">
        <f>U54+U53+U55-U56-U57</f>
        <v/>
      </c>
    </row>
    <row r="60">
      <c r="A60" s="43" t="inlineStr">
        <is>
          <t>LEVERED (EQUITY) CF</t>
        </is>
      </c>
      <c r="B60" s="44">
        <f>B51+B53-B56-B57</f>
        <v/>
      </c>
      <c r="C60" s="44">
        <f>C51+C53-C56-C57</f>
        <v/>
      </c>
      <c r="D60" s="44">
        <f>D51+D53-D56-D57</f>
        <v/>
      </c>
      <c r="E60" s="44">
        <f>E51+E53-E56-E57</f>
        <v/>
      </c>
      <c r="F60" s="44">
        <f>F51+F53-F56-F57</f>
        <v/>
      </c>
      <c r="G60" s="44">
        <f>G51+G53-G56-G57</f>
        <v/>
      </c>
      <c r="H60" s="44">
        <f>H51+H53-H56-H57</f>
        <v/>
      </c>
      <c r="I60" s="44">
        <f>I51+I53-I56-I57</f>
        <v/>
      </c>
      <c r="J60" s="44">
        <f>J51+J53-J56-J57</f>
        <v/>
      </c>
      <c r="K60" s="44">
        <f>K51+K53-K56-K57</f>
        <v/>
      </c>
      <c r="L60" s="44">
        <f>L51+L53-L56-L57</f>
        <v/>
      </c>
      <c r="M60" s="44">
        <f>M51+M53-M56-M57</f>
        <v/>
      </c>
      <c r="N60" s="44">
        <f>N51+N53-N56-N57</f>
        <v/>
      </c>
      <c r="O60" s="44">
        <f>O51+O53-O56-O57</f>
        <v/>
      </c>
      <c r="P60" s="44">
        <f>P51+P53-P56-P57</f>
        <v/>
      </c>
      <c r="Q60" s="44">
        <f>Q51+Q53-Q56-Q57</f>
        <v/>
      </c>
      <c r="R60" s="44">
        <f>R51+R53-R56-R57</f>
        <v/>
      </c>
      <c r="S60" s="44">
        <f>S51+S53-S56-S57</f>
        <v/>
      </c>
      <c r="T60" s="44">
        <f>T51+T53-T56-T57</f>
        <v/>
      </c>
      <c r="U60" s="44">
        <f>U51+U53-U56-U57</f>
        <v/>
      </c>
    </row>
    <row r="61">
      <c r="A61" s="6" t="inlineStr">
        <is>
          <t xml:space="preserve">  Cumulative Equity CF</t>
        </is>
      </c>
      <c r="B61" s="15">
        <f>B60</f>
        <v/>
      </c>
      <c r="C61" s="15">
        <f>B61+C60</f>
        <v/>
      </c>
      <c r="D61" s="15">
        <f>C61+D60</f>
        <v/>
      </c>
      <c r="E61" s="15">
        <f>D61+E60</f>
        <v/>
      </c>
      <c r="F61" s="15">
        <f>E61+F60</f>
        <v/>
      </c>
      <c r="G61" s="15">
        <f>F61+G60</f>
        <v/>
      </c>
      <c r="H61" s="15">
        <f>G61+H60</f>
        <v/>
      </c>
      <c r="I61" s="15">
        <f>H61+I60</f>
        <v/>
      </c>
      <c r="J61" s="15">
        <f>I61+J60</f>
        <v/>
      </c>
      <c r="K61" s="15">
        <f>J61+K60</f>
        <v/>
      </c>
      <c r="L61" s="15">
        <f>K61+L60</f>
        <v/>
      </c>
      <c r="M61" s="15">
        <f>L61+M60</f>
        <v/>
      </c>
      <c r="N61" s="15">
        <f>M61+N60</f>
        <v/>
      </c>
      <c r="O61" s="15">
        <f>N61+O60</f>
        <v/>
      </c>
      <c r="P61" s="15">
        <f>O61+P60</f>
        <v/>
      </c>
      <c r="Q61" s="15">
        <f>P61+Q60</f>
        <v/>
      </c>
      <c r="R61" s="15">
        <f>Q61+R60</f>
        <v/>
      </c>
      <c r="S61" s="15">
        <f>R61+S60</f>
        <v/>
      </c>
      <c r="T61" s="15">
        <f>S61+T60</f>
        <v/>
      </c>
      <c r="U61" s="15">
        <f>T61+U60</f>
        <v/>
      </c>
    </row>
  </sheetData>
  <mergeCells count="1"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6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6" customHeight="1">
      <c r="A1" s="1" t="inlineStr">
        <is>
          <t>REDIP — Returns &amp; Sensitivity</t>
        </is>
      </c>
    </row>
    <row r="3">
      <c r="A3" s="12" t="inlineStr">
        <is>
          <t>PROJECT RETURNS</t>
        </is>
      </c>
    </row>
    <row r="4">
      <c r="A4" s="17" t="inlineStr">
        <is>
          <t>Unlevered IRR (XIRR)</t>
        </is>
      </c>
      <c r="B4" s="8">
        <f>IFERROR(XIRR('Model Engine'!$B$51:$U$51,'Model Engine'!$B$30:$U$30),"n/a")</f>
        <v/>
      </c>
    </row>
    <row r="5">
      <c r="A5" s="17" t="inlineStr">
        <is>
          <t>Levered IRR (XIRR)</t>
        </is>
      </c>
      <c r="B5" s="8">
        <f>IFERROR(XIRR('Model Engine'!$B$60:$U$60,'Model Engine'!$B$30:$U$30),"n/a")</f>
        <v/>
      </c>
    </row>
    <row r="6">
      <c r="A6" s="17" t="inlineStr">
        <is>
          <t>Unlevered NPV (XNPV @ Hurdle)</t>
        </is>
      </c>
      <c r="B6" s="9">
        <f>XNPV(Inputs!$B$49,'Model Engine'!$B$51:$U$51,'Model Engine'!$B$30:$U$30)</f>
        <v/>
      </c>
    </row>
    <row r="7">
      <c r="A7" s="17" t="inlineStr">
        <is>
          <t>Levered NPV (XNPV @ Hurdle)</t>
        </is>
      </c>
      <c r="B7" s="9">
        <f>XNPV(Inputs!$B$49,'Model Engine'!$B$60:$U$60,'Model Engine'!$B$30:$U$30)</f>
        <v/>
      </c>
    </row>
    <row r="8">
      <c r="A8" s="17" t="inlineStr">
        <is>
          <t>Equity Invested (Peak)</t>
        </is>
      </c>
      <c r="B8" s="9">
        <f>ABS(MIN('Model Engine'!$B$61:$U$61))</f>
        <v/>
      </c>
    </row>
    <row r="9">
      <c r="A9" s="17" t="inlineStr">
        <is>
          <t>Total Equity Outflow</t>
        </is>
      </c>
      <c r="B9" s="9">
        <f>SUMIF('Model Engine'!$B$60:$U$60,"&lt;0",'Model Engine'!$B$60:$U$60)*-1</f>
        <v/>
      </c>
    </row>
    <row r="10">
      <c r="A10" s="17" t="inlineStr">
        <is>
          <t>Total Equity Inflow</t>
        </is>
      </c>
      <c r="B10" s="9">
        <f>SUMIF('Model Engine'!$B$60:$U$60,"&gt;0",'Model Engine'!$B$60:$U$60)</f>
        <v/>
      </c>
    </row>
    <row r="11">
      <c r="A11" s="17" t="inlineStr">
        <is>
          <t>MOIC (Levered)</t>
        </is>
      </c>
      <c r="B11" s="10">
        <f>IFERROR(B10/B9,"n/a")</f>
        <v/>
      </c>
    </row>
    <row r="12">
      <c r="A12" s="17" t="inlineStr">
        <is>
          <t>Equity Multiple (Net of Return of Capital)</t>
        </is>
      </c>
      <c r="B12" s="10">
        <f>IFERROR((B10-B9)/B9,"n/a")</f>
        <v/>
      </c>
    </row>
    <row r="13">
      <c r="A13" s="17" t="inlineStr">
        <is>
          <t>Project Profit</t>
        </is>
      </c>
      <c r="B13" s="9">
        <f>SUM('Model Engine'!$B$49:$U$49)-SUM('Model Engine'!$B$42:$U$42)</f>
        <v/>
      </c>
    </row>
    <row r="14">
      <c r="A14" s="17" t="inlineStr">
        <is>
          <t>Profit Margin (on Revenue)</t>
        </is>
      </c>
      <c r="B14" s="8">
        <f>IFERROR(B13/SUM('Model Engine'!$B$49:$U$49),"n/a")</f>
        <v/>
      </c>
    </row>
    <row r="16">
      <c r="A16" s="12" t="inlineStr">
        <is>
          <t>SENSITIVITY — PRICE SHIFT vs UNLEVERED IRR</t>
        </is>
      </c>
    </row>
    <row r="17">
      <c r="A17" s="21" t="inlineStr">
        <is>
          <t>Price Shift</t>
        </is>
      </c>
      <c r="B17" s="22" t="inlineStr">
        <is>
          <t>Unlev IRR</t>
        </is>
      </c>
      <c r="C17" s="22" t="inlineStr">
        <is>
          <t>MOIC (Unlev)</t>
        </is>
      </c>
      <c r="E17" s="5" t="inlineStr">
        <is>
          <t>Helper CF strip  →</t>
        </is>
      </c>
      <c r="F17" s="45" t="inlineStr">
        <is>
          <t>P1</t>
        </is>
      </c>
      <c r="G17" s="45" t="inlineStr">
        <is>
          <t>P2</t>
        </is>
      </c>
      <c r="H17" s="45" t="inlineStr">
        <is>
          <t>P3</t>
        </is>
      </c>
      <c r="I17" s="45" t="inlineStr">
        <is>
          <t>P4</t>
        </is>
      </c>
      <c r="J17" s="45" t="inlineStr">
        <is>
          <t>P5</t>
        </is>
      </c>
      <c r="K17" s="45" t="inlineStr">
        <is>
          <t>P6</t>
        </is>
      </c>
      <c r="L17" s="45" t="inlineStr">
        <is>
          <t>P7</t>
        </is>
      </c>
      <c r="M17" s="45" t="inlineStr">
        <is>
          <t>P8</t>
        </is>
      </c>
      <c r="N17" s="45" t="inlineStr">
        <is>
          <t>P9</t>
        </is>
      </c>
      <c r="O17" s="45" t="inlineStr">
        <is>
          <t>P10</t>
        </is>
      </c>
      <c r="P17" s="45" t="inlineStr">
        <is>
          <t>P11</t>
        </is>
      </c>
      <c r="Q17" s="45" t="inlineStr">
        <is>
          <t>P12</t>
        </is>
      </c>
      <c r="R17" s="45" t="inlineStr">
        <is>
          <t>P13</t>
        </is>
      </c>
      <c r="S17" s="45" t="inlineStr">
        <is>
          <t>P14</t>
        </is>
      </c>
      <c r="T17" s="45" t="inlineStr">
        <is>
          <t>P15</t>
        </is>
      </c>
      <c r="U17" s="45" t="inlineStr">
        <is>
          <t>P16</t>
        </is>
      </c>
      <c r="V17" s="45" t="inlineStr">
        <is>
          <t>P17</t>
        </is>
      </c>
      <c r="W17" s="45" t="inlineStr">
        <is>
          <t>P18</t>
        </is>
      </c>
      <c r="X17" s="45" t="inlineStr">
        <is>
          <t>P19</t>
        </is>
      </c>
      <c r="Y17" s="45" t="inlineStr">
        <is>
          <t>P20</t>
        </is>
      </c>
    </row>
    <row r="18">
      <c r="B18" s="33">
        <f>IFERROR(XIRR($F18:$Y18,'Model Engine'!$B$30:$U$30),"n/a")</f>
        <v/>
      </c>
      <c r="C18" s="46">
        <f>IFERROR(SUMIF($F18:$Y18,"&gt;0")/(-SUMIF($F18:$Y18,"&lt;0")),"n/a")</f>
        <v/>
      </c>
      <c r="F18" s="15">
        <f>'Model Engine'!B49*(1+$A18)-'Model Engine'!B42</f>
        <v/>
      </c>
      <c r="G18" s="15">
        <f>'Model Engine'!C49*(1+$A18)-'Model Engine'!C42</f>
        <v/>
      </c>
      <c r="H18" s="15">
        <f>'Model Engine'!D49*(1+$A18)-'Model Engine'!D42</f>
        <v/>
      </c>
      <c r="I18" s="15">
        <f>'Model Engine'!E49*(1+$A18)-'Model Engine'!E42</f>
        <v/>
      </c>
      <c r="J18" s="15">
        <f>'Model Engine'!F49*(1+$A18)-'Model Engine'!F42</f>
        <v/>
      </c>
      <c r="K18" s="15">
        <f>'Model Engine'!G49*(1+$A18)-'Model Engine'!G42</f>
        <v/>
      </c>
      <c r="L18" s="15">
        <f>'Model Engine'!H49*(1+$A18)-'Model Engine'!H42</f>
        <v/>
      </c>
      <c r="M18" s="15">
        <f>'Model Engine'!I49*(1+$A18)-'Model Engine'!I42</f>
        <v/>
      </c>
      <c r="N18" s="15">
        <f>'Model Engine'!J49*(1+$A18)-'Model Engine'!J42</f>
        <v/>
      </c>
      <c r="O18" s="15">
        <f>'Model Engine'!K49*(1+$A18)-'Model Engine'!K42</f>
        <v/>
      </c>
      <c r="P18" s="15">
        <f>'Model Engine'!L49*(1+$A18)-'Model Engine'!L42</f>
        <v/>
      </c>
      <c r="Q18" s="15">
        <f>'Model Engine'!M49*(1+$A18)-'Model Engine'!M42</f>
        <v/>
      </c>
      <c r="R18" s="15">
        <f>'Model Engine'!N49*(1+$A18)-'Model Engine'!N42</f>
        <v/>
      </c>
      <c r="S18" s="15">
        <f>'Model Engine'!O49*(1+$A18)-'Model Engine'!O42</f>
        <v/>
      </c>
      <c r="T18" s="15">
        <f>'Model Engine'!P49*(1+$A18)-'Model Engine'!P42</f>
        <v/>
      </c>
      <c r="U18" s="15">
        <f>'Model Engine'!Q49*(1+$A18)-'Model Engine'!Q42</f>
        <v/>
      </c>
      <c r="V18" s="15">
        <f>'Model Engine'!R49*(1+$A18)-'Model Engine'!R42</f>
        <v/>
      </c>
      <c r="W18" s="15">
        <f>'Model Engine'!S49*(1+$A18)-'Model Engine'!S42</f>
        <v/>
      </c>
      <c r="X18" s="15">
        <f>'Model Engine'!T49*(1+$A18)-'Model Engine'!T42</f>
        <v/>
      </c>
      <c r="Y18" s="15">
        <f>'Model Engine'!U49*(1+$A18)-'Model Engine'!U42</f>
        <v/>
      </c>
    </row>
    <row r="19">
      <c r="B19" s="33">
        <f>IFERROR(XIRR($F19:$Y19,'Model Engine'!$B$30:$U$30),"n/a")</f>
        <v/>
      </c>
      <c r="C19" s="46">
        <f>IFERROR(SUMIF($F19:$Y19,"&gt;0")/(-SUMIF($F19:$Y19,"&lt;0")),"n/a")</f>
        <v/>
      </c>
      <c r="F19" s="15">
        <f>'Model Engine'!B49*(1+$A19)-'Model Engine'!B42</f>
        <v/>
      </c>
      <c r="G19" s="15">
        <f>'Model Engine'!C49*(1+$A19)-'Model Engine'!C42</f>
        <v/>
      </c>
      <c r="H19" s="15">
        <f>'Model Engine'!D49*(1+$A19)-'Model Engine'!D42</f>
        <v/>
      </c>
      <c r="I19" s="15">
        <f>'Model Engine'!E49*(1+$A19)-'Model Engine'!E42</f>
        <v/>
      </c>
      <c r="J19" s="15">
        <f>'Model Engine'!F49*(1+$A19)-'Model Engine'!F42</f>
        <v/>
      </c>
      <c r="K19" s="15">
        <f>'Model Engine'!G49*(1+$A19)-'Model Engine'!G42</f>
        <v/>
      </c>
      <c r="L19" s="15">
        <f>'Model Engine'!H49*(1+$A19)-'Model Engine'!H42</f>
        <v/>
      </c>
      <c r="M19" s="15">
        <f>'Model Engine'!I49*(1+$A19)-'Model Engine'!I42</f>
        <v/>
      </c>
      <c r="N19" s="15">
        <f>'Model Engine'!J49*(1+$A19)-'Model Engine'!J42</f>
        <v/>
      </c>
      <c r="O19" s="15">
        <f>'Model Engine'!K49*(1+$A19)-'Model Engine'!K42</f>
        <v/>
      </c>
      <c r="P19" s="15">
        <f>'Model Engine'!L49*(1+$A19)-'Model Engine'!L42</f>
        <v/>
      </c>
      <c r="Q19" s="15">
        <f>'Model Engine'!M49*(1+$A19)-'Model Engine'!M42</f>
        <v/>
      </c>
      <c r="R19" s="15">
        <f>'Model Engine'!N49*(1+$A19)-'Model Engine'!N42</f>
        <v/>
      </c>
      <c r="S19" s="15">
        <f>'Model Engine'!O49*(1+$A19)-'Model Engine'!O42</f>
        <v/>
      </c>
      <c r="T19" s="15">
        <f>'Model Engine'!P49*(1+$A19)-'Model Engine'!P42</f>
        <v/>
      </c>
      <c r="U19" s="15">
        <f>'Model Engine'!Q49*(1+$A19)-'Model Engine'!Q42</f>
        <v/>
      </c>
      <c r="V19" s="15">
        <f>'Model Engine'!R49*(1+$A19)-'Model Engine'!R42</f>
        <v/>
      </c>
      <c r="W19" s="15">
        <f>'Model Engine'!S49*(1+$A19)-'Model Engine'!S42</f>
        <v/>
      </c>
      <c r="X19" s="15">
        <f>'Model Engine'!T49*(1+$A19)-'Model Engine'!T42</f>
        <v/>
      </c>
      <c r="Y19" s="15">
        <f>'Model Engine'!U49*(1+$A19)-'Model Engine'!U42</f>
        <v/>
      </c>
    </row>
    <row r="20">
      <c r="B20" s="33">
        <f>IFERROR(XIRR($F20:$Y20,'Model Engine'!$B$30:$U$30),"n/a")</f>
        <v/>
      </c>
      <c r="C20" s="46">
        <f>IFERROR(SUMIF($F20:$Y20,"&gt;0")/(-SUMIF($F20:$Y20,"&lt;0")),"n/a")</f>
        <v/>
      </c>
      <c r="F20" s="15">
        <f>'Model Engine'!B49*(1+$A20)-'Model Engine'!B42</f>
        <v/>
      </c>
      <c r="G20" s="15">
        <f>'Model Engine'!C49*(1+$A20)-'Model Engine'!C42</f>
        <v/>
      </c>
      <c r="H20" s="15">
        <f>'Model Engine'!D49*(1+$A20)-'Model Engine'!D42</f>
        <v/>
      </c>
      <c r="I20" s="15">
        <f>'Model Engine'!E49*(1+$A20)-'Model Engine'!E42</f>
        <v/>
      </c>
      <c r="J20" s="15">
        <f>'Model Engine'!F49*(1+$A20)-'Model Engine'!F42</f>
        <v/>
      </c>
      <c r="K20" s="15">
        <f>'Model Engine'!G49*(1+$A20)-'Model Engine'!G42</f>
        <v/>
      </c>
      <c r="L20" s="15">
        <f>'Model Engine'!H49*(1+$A20)-'Model Engine'!H42</f>
        <v/>
      </c>
      <c r="M20" s="15">
        <f>'Model Engine'!I49*(1+$A20)-'Model Engine'!I42</f>
        <v/>
      </c>
      <c r="N20" s="15">
        <f>'Model Engine'!J49*(1+$A20)-'Model Engine'!J42</f>
        <v/>
      </c>
      <c r="O20" s="15">
        <f>'Model Engine'!K49*(1+$A20)-'Model Engine'!K42</f>
        <v/>
      </c>
      <c r="P20" s="15">
        <f>'Model Engine'!L49*(1+$A20)-'Model Engine'!L42</f>
        <v/>
      </c>
      <c r="Q20" s="15">
        <f>'Model Engine'!M49*(1+$A20)-'Model Engine'!M42</f>
        <v/>
      </c>
      <c r="R20" s="15">
        <f>'Model Engine'!N49*(1+$A20)-'Model Engine'!N42</f>
        <v/>
      </c>
      <c r="S20" s="15">
        <f>'Model Engine'!O49*(1+$A20)-'Model Engine'!O42</f>
        <v/>
      </c>
      <c r="T20" s="15">
        <f>'Model Engine'!P49*(1+$A20)-'Model Engine'!P42</f>
        <v/>
      </c>
      <c r="U20" s="15">
        <f>'Model Engine'!Q49*(1+$A20)-'Model Engine'!Q42</f>
        <v/>
      </c>
      <c r="V20" s="15">
        <f>'Model Engine'!R49*(1+$A20)-'Model Engine'!R42</f>
        <v/>
      </c>
      <c r="W20" s="15">
        <f>'Model Engine'!S49*(1+$A20)-'Model Engine'!S42</f>
        <v/>
      </c>
      <c r="X20" s="15">
        <f>'Model Engine'!T49*(1+$A20)-'Model Engine'!T42</f>
        <v/>
      </c>
      <c r="Y20" s="15">
        <f>'Model Engine'!U49*(1+$A20)-'Model Engine'!U42</f>
        <v/>
      </c>
    </row>
    <row r="21">
      <c r="B21" s="33">
        <f>IFERROR(XIRR($F21:$Y21,'Model Engine'!$B$30:$U$30),"n/a")</f>
        <v/>
      </c>
      <c r="C21" s="46">
        <f>IFERROR(SUMIF($F21:$Y21,"&gt;0")/(-SUMIF($F21:$Y21,"&lt;0")),"n/a")</f>
        <v/>
      </c>
      <c r="F21" s="15">
        <f>'Model Engine'!B49*(1+$A21)-'Model Engine'!B42</f>
        <v/>
      </c>
      <c r="G21" s="15">
        <f>'Model Engine'!C49*(1+$A21)-'Model Engine'!C42</f>
        <v/>
      </c>
      <c r="H21" s="15">
        <f>'Model Engine'!D49*(1+$A21)-'Model Engine'!D42</f>
        <v/>
      </c>
      <c r="I21" s="15">
        <f>'Model Engine'!E49*(1+$A21)-'Model Engine'!E42</f>
        <v/>
      </c>
      <c r="J21" s="15">
        <f>'Model Engine'!F49*(1+$A21)-'Model Engine'!F42</f>
        <v/>
      </c>
      <c r="K21" s="15">
        <f>'Model Engine'!G49*(1+$A21)-'Model Engine'!G42</f>
        <v/>
      </c>
      <c r="L21" s="15">
        <f>'Model Engine'!H49*(1+$A21)-'Model Engine'!H42</f>
        <v/>
      </c>
      <c r="M21" s="15">
        <f>'Model Engine'!I49*(1+$A21)-'Model Engine'!I42</f>
        <v/>
      </c>
      <c r="N21" s="15">
        <f>'Model Engine'!J49*(1+$A21)-'Model Engine'!J42</f>
        <v/>
      </c>
      <c r="O21" s="15">
        <f>'Model Engine'!K49*(1+$A21)-'Model Engine'!K42</f>
        <v/>
      </c>
      <c r="P21" s="15">
        <f>'Model Engine'!L49*(1+$A21)-'Model Engine'!L42</f>
        <v/>
      </c>
      <c r="Q21" s="15">
        <f>'Model Engine'!M49*(1+$A21)-'Model Engine'!M42</f>
        <v/>
      </c>
      <c r="R21" s="15">
        <f>'Model Engine'!N49*(1+$A21)-'Model Engine'!N42</f>
        <v/>
      </c>
      <c r="S21" s="15">
        <f>'Model Engine'!O49*(1+$A21)-'Model Engine'!O42</f>
        <v/>
      </c>
      <c r="T21" s="15">
        <f>'Model Engine'!P49*(1+$A21)-'Model Engine'!P42</f>
        <v/>
      </c>
      <c r="U21" s="15">
        <f>'Model Engine'!Q49*(1+$A21)-'Model Engine'!Q42</f>
        <v/>
      </c>
      <c r="V21" s="15">
        <f>'Model Engine'!R49*(1+$A21)-'Model Engine'!R42</f>
        <v/>
      </c>
      <c r="W21" s="15">
        <f>'Model Engine'!S49*(1+$A21)-'Model Engine'!S42</f>
        <v/>
      </c>
      <c r="X21" s="15">
        <f>'Model Engine'!T49*(1+$A21)-'Model Engine'!T42</f>
        <v/>
      </c>
      <c r="Y21" s="15">
        <f>'Model Engine'!U49*(1+$A21)-'Model Engine'!U42</f>
        <v/>
      </c>
    </row>
    <row r="22">
      <c r="B22" s="33">
        <f>IFERROR(XIRR($F22:$Y22,'Model Engine'!$B$30:$U$30),"n/a")</f>
        <v/>
      </c>
      <c r="C22" s="46">
        <f>IFERROR(SUMIF($F22:$Y22,"&gt;0")/(-SUMIF($F22:$Y22,"&lt;0")),"n/a")</f>
        <v/>
      </c>
      <c r="F22" s="15">
        <f>'Model Engine'!B49*(1+$A22)-'Model Engine'!B42</f>
        <v/>
      </c>
      <c r="G22" s="15">
        <f>'Model Engine'!C49*(1+$A22)-'Model Engine'!C42</f>
        <v/>
      </c>
      <c r="H22" s="15">
        <f>'Model Engine'!D49*(1+$A22)-'Model Engine'!D42</f>
        <v/>
      </c>
      <c r="I22" s="15">
        <f>'Model Engine'!E49*(1+$A22)-'Model Engine'!E42</f>
        <v/>
      </c>
      <c r="J22" s="15">
        <f>'Model Engine'!F49*(1+$A22)-'Model Engine'!F42</f>
        <v/>
      </c>
      <c r="K22" s="15">
        <f>'Model Engine'!G49*(1+$A22)-'Model Engine'!G42</f>
        <v/>
      </c>
      <c r="L22" s="15">
        <f>'Model Engine'!H49*(1+$A22)-'Model Engine'!H42</f>
        <v/>
      </c>
      <c r="M22" s="15">
        <f>'Model Engine'!I49*(1+$A22)-'Model Engine'!I42</f>
        <v/>
      </c>
      <c r="N22" s="15">
        <f>'Model Engine'!J49*(1+$A22)-'Model Engine'!J42</f>
        <v/>
      </c>
      <c r="O22" s="15">
        <f>'Model Engine'!K49*(1+$A22)-'Model Engine'!K42</f>
        <v/>
      </c>
      <c r="P22" s="15">
        <f>'Model Engine'!L49*(1+$A22)-'Model Engine'!L42</f>
        <v/>
      </c>
      <c r="Q22" s="15">
        <f>'Model Engine'!M49*(1+$A22)-'Model Engine'!M42</f>
        <v/>
      </c>
      <c r="R22" s="15">
        <f>'Model Engine'!N49*(1+$A22)-'Model Engine'!N42</f>
        <v/>
      </c>
      <c r="S22" s="15">
        <f>'Model Engine'!O49*(1+$A22)-'Model Engine'!O42</f>
        <v/>
      </c>
      <c r="T22" s="15">
        <f>'Model Engine'!P49*(1+$A22)-'Model Engine'!P42</f>
        <v/>
      </c>
      <c r="U22" s="15">
        <f>'Model Engine'!Q49*(1+$A22)-'Model Engine'!Q42</f>
        <v/>
      </c>
      <c r="V22" s="15">
        <f>'Model Engine'!R49*(1+$A22)-'Model Engine'!R42</f>
        <v/>
      </c>
      <c r="W22" s="15">
        <f>'Model Engine'!S49*(1+$A22)-'Model Engine'!S42</f>
        <v/>
      </c>
      <c r="X22" s="15">
        <f>'Model Engine'!T49*(1+$A22)-'Model Engine'!T42</f>
        <v/>
      </c>
      <c r="Y22" s="15">
        <f>'Model Engine'!U49*(1+$A22)-'Model Engine'!U42</f>
        <v/>
      </c>
    </row>
    <row r="23">
      <c r="B23" s="33">
        <f>IFERROR(XIRR($F23:$Y23,'Model Engine'!$B$30:$U$30),"n/a")</f>
        <v/>
      </c>
      <c r="C23" s="46">
        <f>IFERROR(SUMIF($F23:$Y23,"&gt;0")/(-SUMIF($F23:$Y23,"&lt;0")),"n/a")</f>
        <v/>
      </c>
      <c r="F23" s="15">
        <f>'Model Engine'!B49*(1+$A23)-'Model Engine'!B42</f>
        <v/>
      </c>
      <c r="G23" s="15">
        <f>'Model Engine'!C49*(1+$A23)-'Model Engine'!C42</f>
        <v/>
      </c>
      <c r="H23" s="15">
        <f>'Model Engine'!D49*(1+$A23)-'Model Engine'!D42</f>
        <v/>
      </c>
      <c r="I23" s="15">
        <f>'Model Engine'!E49*(1+$A23)-'Model Engine'!E42</f>
        <v/>
      </c>
      <c r="J23" s="15">
        <f>'Model Engine'!F49*(1+$A23)-'Model Engine'!F42</f>
        <v/>
      </c>
      <c r="K23" s="15">
        <f>'Model Engine'!G49*(1+$A23)-'Model Engine'!G42</f>
        <v/>
      </c>
      <c r="L23" s="15">
        <f>'Model Engine'!H49*(1+$A23)-'Model Engine'!H42</f>
        <v/>
      </c>
      <c r="M23" s="15">
        <f>'Model Engine'!I49*(1+$A23)-'Model Engine'!I42</f>
        <v/>
      </c>
      <c r="N23" s="15">
        <f>'Model Engine'!J49*(1+$A23)-'Model Engine'!J42</f>
        <v/>
      </c>
      <c r="O23" s="15">
        <f>'Model Engine'!K49*(1+$A23)-'Model Engine'!K42</f>
        <v/>
      </c>
      <c r="P23" s="15">
        <f>'Model Engine'!L49*(1+$A23)-'Model Engine'!L42</f>
        <v/>
      </c>
      <c r="Q23" s="15">
        <f>'Model Engine'!M49*(1+$A23)-'Model Engine'!M42</f>
        <v/>
      </c>
      <c r="R23" s="15">
        <f>'Model Engine'!N49*(1+$A23)-'Model Engine'!N42</f>
        <v/>
      </c>
      <c r="S23" s="15">
        <f>'Model Engine'!O49*(1+$A23)-'Model Engine'!O42</f>
        <v/>
      </c>
      <c r="T23" s="15">
        <f>'Model Engine'!P49*(1+$A23)-'Model Engine'!P42</f>
        <v/>
      </c>
      <c r="U23" s="15">
        <f>'Model Engine'!Q49*(1+$A23)-'Model Engine'!Q42</f>
        <v/>
      </c>
      <c r="V23" s="15">
        <f>'Model Engine'!R49*(1+$A23)-'Model Engine'!R42</f>
        <v/>
      </c>
      <c r="W23" s="15">
        <f>'Model Engine'!S49*(1+$A23)-'Model Engine'!S42</f>
        <v/>
      </c>
      <c r="X23" s="15">
        <f>'Model Engine'!T49*(1+$A23)-'Model Engine'!T42</f>
        <v/>
      </c>
      <c r="Y23" s="15">
        <f>'Model Engine'!U49*(1+$A23)-'Model Engine'!U42</f>
        <v/>
      </c>
    </row>
    <row r="24">
      <c r="B24" s="33">
        <f>IFERROR(XIRR($F24:$Y24,'Model Engine'!$B$30:$U$30),"n/a")</f>
        <v/>
      </c>
      <c r="C24" s="46">
        <f>IFERROR(SUMIF($F24:$Y24,"&gt;0")/(-SUMIF($F24:$Y24,"&lt;0")),"n/a")</f>
        <v/>
      </c>
      <c r="F24" s="15">
        <f>'Model Engine'!B49*(1+$A24)-'Model Engine'!B42</f>
        <v/>
      </c>
      <c r="G24" s="15">
        <f>'Model Engine'!C49*(1+$A24)-'Model Engine'!C42</f>
        <v/>
      </c>
      <c r="H24" s="15">
        <f>'Model Engine'!D49*(1+$A24)-'Model Engine'!D42</f>
        <v/>
      </c>
      <c r="I24" s="15">
        <f>'Model Engine'!E49*(1+$A24)-'Model Engine'!E42</f>
        <v/>
      </c>
      <c r="J24" s="15">
        <f>'Model Engine'!F49*(1+$A24)-'Model Engine'!F42</f>
        <v/>
      </c>
      <c r="K24" s="15">
        <f>'Model Engine'!G49*(1+$A24)-'Model Engine'!G42</f>
        <v/>
      </c>
      <c r="L24" s="15">
        <f>'Model Engine'!H49*(1+$A24)-'Model Engine'!H42</f>
        <v/>
      </c>
      <c r="M24" s="15">
        <f>'Model Engine'!I49*(1+$A24)-'Model Engine'!I42</f>
        <v/>
      </c>
      <c r="N24" s="15">
        <f>'Model Engine'!J49*(1+$A24)-'Model Engine'!J42</f>
        <v/>
      </c>
      <c r="O24" s="15">
        <f>'Model Engine'!K49*(1+$A24)-'Model Engine'!K42</f>
        <v/>
      </c>
      <c r="P24" s="15">
        <f>'Model Engine'!L49*(1+$A24)-'Model Engine'!L42</f>
        <v/>
      </c>
      <c r="Q24" s="15">
        <f>'Model Engine'!M49*(1+$A24)-'Model Engine'!M42</f>
        <v/>
      </c>
      <c r="R24" s="15">
        <f>'Model Engine'!N49*(1+$A24)-'Model Engine'!N42</f>
        <v/>
      </c>
      <c r="S24" s="15">
        <f>'Model Engine'!O49*(1+$A24)-'Model Engine'!O42</f>
        <v/>
      </c>
      <c r="T24" s="15">
        <f>'Model Engine'!P49*(1+$A24)-'Model Engine'!P42</f>
        <v/>
      </c>
      <c r="U24" s="15">
        <f>'Model Engine'!Q49*(1+$A24)-'Model Engine'!Q42</f>
        <v/>
      </c>
      <c r="V24" s="15">
        <f>'Model Engine'!R49*(1+$A24)-'Model Engine'!R42</f>
        <v/>
      </c>
      <c r="W24" s="15">
        <f>'Model Engine'!S49*(1+$A24)-'Model Engine'!S42</f>
        <v/>
      </c>
      <c r="X24" s="15">
        <f>'Model Engine'!T49*(1+$A24)-'Model Engine'!T42</f>
        <v/>
      </c>
      <c r="Y24" s="15">
        <f>'Model Engine'!U49*(1+$A24)-'Model Engine'!U42</f>
        <v/>
      </c>
    </row>
    <row r="25">
      <c r="B25" s="33">
        <f>IFERROR(XIRR($F25:$Y25,'Model Engine'!$B$30:$U$30),"n/a")</f>
        <v/>
      </c>
      <c r="C25" s="46">
        <f>IFERROR(SUMIF($F25:$Y25,"&gt;0")/(-SUMIF($F25:$Y25,"&lt;0")),"n/a")</f>
        <v/>
      </c>
      <c r="F25" s="15">
        <f>'Model Engine'!B49*(1+$A25)-'Model Engine'!B42</f>
        <v/>
      </c>
      <c r="G25" s="15">
        <f>'Model Engine'!C49*(1+$A25)-'Model Engine'!C42</f>
        <v/>
      </c>
      <c r="H25" s="15">
        <f>'Model Engine'!D49*(1+$A25)-'Model Engine'!D42</f>
        <v/>
      </c>
      <c r="I25" s="15">
        <f>'Model Engine'!E49*(1+$A25)-'Model Engine'!E42</f>
        <v/>
      </c>
      <c r="J25" s="15">
        <f>'Model Engine'!F49*(1+$A25)-'Model Engine'!F42</f>
        <v/>
      </c>
      <c r="K25" s="15">
        <f>'Model Engine'!G49*(1+$A25)-'Model Engine'!G42</f>
        <v/>
      </c>
      <c r="L25" s="15">
        <f>'Model Engine'!H49*(1+$A25)-'Model Engine'!H42</f>
        <v/>
      </c>
      <c r="M25" s="15">
        <f>'Model Engine'!I49*(1+$A25)-'Model Engine'!I42</f>
        <v/>
      </c>
      <c r="N25" s="15">
        <f>'Model Engine'!J49*(1+$A25)-'Model Engine'!J42</f>
        <v/>
      </c>
      <c r="O25" s="15">
        <f>'Model Engine'!K49*(1+$A25)-'Model Engine'!K42</f>
        <v/>
      </c>
      <c r="P25" s="15">
        <f>'Model Engine'!L49*(1+$A25)-'Model Engine'!L42</f>
        <v/>
      </c>
      <c r="Q25" s="15">
        <f>'Model Engine'!M49*(1+$A25)-'Model Engine'!M42</f>
        <v/>
      </c>
      <c r="R25" s="15">
        <f>'Model Engine'!N49*(1+$A25)-'Model Engine'!N42</f>
        <v/>
      </c>
      <c r="S25" s="15">
        <f>'Model Engine'!O49*(1+$A25)-'Model Engine'!O42</f>
        <v/>
      </c>
      <c r="T25" s="15">
        <f>'Model Engine'!P49*(1+$A25)-'Model Engine'!P42</f>
        <v/>
      </c>
      <c r="U25" s="15">
        <f>'Model Engine'!Q49*(1+$A25)-'Model Engine'!Q42</f>
        <v/>
      </c>
      <c r="V25" s="15">
        <f>'Model Engine'!R49*(1+$A25)-'Model Engine'!R42</f>
        <v/>
      </c>
      <c r="W25" s="15">
        <f>'Model Engine'!S49*(1+$A25)-'Model Engine'!S42</f>
        <v/>
      </c>
      <c r="X25" s="15">
        <f>'Model Engine'!T49*(1+$A25)-'Model Engine'!T42</f>
        <v/>
      </c>
      <c r="Y25" s="15">
        <f>'Model Engine'!U49*(1+$A25)-'Model Engine'!U42</f>
        <v/>
      </c>
    </row>
    <row r="26">
      <c r="B26" s="33">
        <f>IFERROR(XIRR($F26:$Y26,'Model Engine'!$B$30:$U$30),"n/a")</f>
        <v/>
      </c>
      <c r="C26" s="46">
        <f>IFERROR(SUMIF($F26:$Y26,"&gt;0")/(-SUMIF($F26:$Y26,"&lt;0")),"n/a")</f>
        <v/>
      </c>
      <c r="F26" s="15">
        <f>'Model Engine'!B49*(1+$A26)-'Model Engine'!B42</f>
        <v/>
      </c>
      <c r="G26" s="15">
        <f>'Model Engine'!C49*(1+$A26)-'Model Engine'!C42</f>
        <v/>
      </c>
      <c r="H26" s="15">
        <f>'Model Engine'!D49*(1+$A26)-'Model Engine'!D42</f>
        <v/>
      </c>
      <c r="I26" s="15">
        <f>'Model Engine'!E49*(1+$A26)-'Model Engine'!E42</f>
        <v/>
      </c>
      <c r="J26" s="15">
        <f>'Model Engine'!F49*(1+$A26)-'Model Engine'!F42</f>
        <v/>
      </c>
      <c r="K26" s="15">
        <f>'Model Engine'!G49*(1+$A26)-'Model Engine'!G42</f>
        <v/>
      </c>
      <c r="L26" s="15">
        <f>'Model Engine'!H49*(1+$A26)-'Model Engine'!H42</f>
        <v/>
      </c>
      <c r="M26" s="15">
        <f>'Model Engine'!I49*(1+$A26)-'Model Engine'!I42</f>
        <v/>
      </c>
      <c r="N26" s="15">
        <f>'Model Engine'!J49*(1+$A26)-'Model Engine'!J42</f>
        <v/>
      </c>
      <c r="O26" s="15">
        <f>'Model Engine'!K49*(1+$A26)-'Model Engine'!K42</f>
        <v/>
      </c>
      <c r="P26" s="15">
        <f>'Model Engine'!L49*(1+$A26)-'Model Engine'!L42</f>
        <v/>
      </c>
      <c r="Q26" s="15">
        <f>'Model Engine'!M49*(1+$A26)-'Model Engine'!M42</f>
        <v/>
      </c>
      <c r="R26" s="15">
        <f>'Model Engine'!N49*(1+$A26)-'Model Engine'!N42</f>
        <v/>
      </c>
      <c r="S26" s="15">
        <f>'Model Engine'!O49*(1+$A26)-'Model Engine'!O42</f>
        <v/>
      </c>
      <c r="T26" s="15">
        <f>'Model Engine'!P49*(1+$A26)-'Model Engine'!P42</f>
        <v/>
      </c>
      <c r="U26" s="15">
        <f>'Model Engine'!Q49*(1+$A26)-'Model Engine'!Q42</f>
        <v/>
      </c>
      <c r="V26" s="15">
        <f>'Model Engine'!R49*(1+$A26)-'Model Engine'!R42</f>
        <v/>
      </c>
      <c r="W26" s="15">
        <f>'Model Engine'!S49*(1+$A26)-'Model Engine'!S42</f>
        <v/>
      </c>
      <c r="X26" s="15">
        <f>'Model Engine'!T49*(1+$A26)-'Model Engine'!T42</f>
        <v/>
      </c>
      <c r="Y26" s="15">
        <f>'Model Engine'!U49*(1+$A26)-'Model Engine'!U42</f>
        <v/>
      </c>
    </row>
    <row r="27">
      <c r="A27" s="12" t="inlineStr">
        <is>
          <t>SENSITIVITY — COST SHIFT vs UNLEVERED IRR</t>
        </is>
      </c>
    </row>
    <row r="28">
      <c r="A28" s="21" t="inlineStr">
        <is>
          <t>Cost Shift</t>
        </is>
      </c>
      <c r="B28" s="22" t="inlineStr">
        <is>
          <t>Unlev IRR</t>
        </is>
      </c>
      <c r="C28" s="22" t="inlineStr">
        <is>
          <t>MOIC (Unlev)</t>
        </is>
      </c>
      <c r="E28" s="5" t="inlineStr">
        <is>
          <t>Helper CF strip  →</t>
        </is>
      </c>
      <c r="F28" s="45" t="inlineStr">
        <is>
          <t>P1</t>
        </is>
      </c>
      <c r="G28" s="45" t="inlineStr">
        <is>
          <t>P2</t>
        </is>
      </c>
      <c r="H28" s="45" t="inlineStr">
        <is>
          <t>P3</t>
        </is>
      </c>
      <c r="I28" s="45" t="inlineStr">
        <is>
          <t>P4</t>
        </is>
      </c>
      <c r="J28" s="45" t="inlineStr">
        <is>
          <t>P5</t>
        </is>
      </c>
      <c r="K28" s="45" t="inlineStr">
        <is>
          <t>P6</t>
        </is>
      </c>
      <c r="L28" s="45" t="inlineStr">
        <is>
          <t>P7</t>
        </is>
      </c>
      <c r="M28" s="45" t="inlineStr">
        <is>
          <t>P8</t>
        </is>
      </c>
      <c r="N28" s="45" t="inlineStr">
        <is>
          <t>P9</t>
        </is>
      </c>
      <c r="O28" s="45" t="inlineStr">
        <is>
          <t>P10</t>
        </is>
      </c>
      <c r="P28" s="45" t="inlineStr">
        <is>
          <t>P11</t>
        </is>
      </c>
      <c r="Q28" s="45" t="inlineStr">
        <is>
          <t>P12</t>
        </is>
      </c>
      <c r="R28" s="45" t="inlineStr">
        <is>
          <t>P13</t>
        </is>
      </c>
      <c r="S28" s="45" t="inlineStr">
        <is>
          <t>P14</t>
        </is>
      </c>
      <c r="T28" s="45" t="inlineStr">
        <is>
          <t>P15</t>
        </is>
      </c>
      <c r="U28" s="45" t="inlineStr">
        <is>
          <t>P16</t>
        </is>
      </c>
      <c r="V28" s="45" t="inlineStr">
        <is>
          <t>P17</t>
        </is>
      </c>
      <c r="W28" s="45" t="inlineStr">
        <is>
          <t>P18</t>
        </is>
      </c>
      <c r="X28" s="45" t="inlineStr">
        <is>
          <t>P19</t>
        </is>
      </c>
      <c r="Y28" s="45" t="inlineStr">
        <is>
          <t>P20</t>
        </is>
      </c>
    </row>
    <row r="29">
      <c r="A29" s="47">
        <f>Inputs!$B$53*-4</f>
        <v/>
      </c>
      <c r="B29" s="33">
        <f>IFERROR(XIRR($F29:$Y29,'Model Engine'!$B$30:$U$30),"n/a")</f>
        <v/>
      </c>
      <c r="C29" s="46">
        <f>IFERROR(SUMIF($F29:$Y29,"&gt;0")/(-SUMIF($F29:$Y29,"&lt;0")),"n/a")</f>
        <v/>
      </c>
      <c r="F29" s="15">
        <f>'Model Engine'!B49-'Model Engine'!B42*(1+$A29)</f>
        <v/>
      </c>
      <c r="G29" s="15">
        <f>'Model Engine'!C49-'Model Engine'!C42*(1+$A29)</f>
        <v/>
      </c>
      <c r="H29" s="15">
        <f>'Model Engine'!D49-'Model Engine'!D42*(1+$A29)</f>
        <v/>
      </c>
      <c r="I29" s="15">
        <f>'Model Engine'!E49-'Model Engine'!E42*(1+$A29)</f>
        <v/>
      </c>
      <c r="J29" s="15">
        <f>'Model Engine'!F49-'Model Engine'!F42*(1+$A29)</f>
        <v/>
      </c>
      <c r="K29" s="15">
        <f>'Model Engine'!G49-'Model Engine'!G42*(1+$A29)</f>
        <v/>
      </c>
      <c r="L29" s="15">
        <f>'Model Engine'!H49-'Model Engine'!H42*(1+$A29)</f>
        <v/>
      </c>
      <c r="M29" s="15">
        <f>'Model Engine'!I49-'Model Engine'!I42*(1+$A29)</f>
        <v/>
      </c>
      <c r="N29" s="15">
        <f>'Model Engine'!J49-'Model Engine'!J42*(1+$A29)</f>
        <v/>
      </c>
      <c r="O29" s="15">
        <f>'Model Engine'!K49-'Model Engine'!K42*(1+$A29)</f>
        <v/>
      </c>
      <c r="P29" s="15">
        <f>'Model Engine'!L49-'Model Engine'!L42*(1+$A29)</f>
        <v/>
      </c>
      <c r="Q29" s="15">
        <f>'Model Engine'!M49-'Model Engine'!M42*(1+$A29)</f>
        <v/>
      </c>
      <c r="R29" s="15">
        <f>'Model Engine'!N49-'Model Engine'!N42*(1+$A29)</f>
        <v/>
      </c>
      <c r="S29" s="15">
        <f>'Model Engine'!O49-'Model Engine'!O42*(1+$A29)</f>
        <v/>
      </c>
      <c r="T29" s="15">
        <f>'Model Engine'!P49-'Model Engine'!P42*(1+$A29)</f>
        <v/>
      </c>
      <c r="U29" s="15">
        <f>'Model Engine'!Q49-'Model Engine'!Q42*(1+$A29)</f>
        <v/>
      </c>
      <c r="V29" s="15">
        <f>'Model Engine'!R49-'Model Engine'!R42*(1+$A29)</f>
        <v/>
      </c>
      <c r="W29" s="15">
        <f>'Model Engine'!S49-'Model Engine'!S42*(1+$A29)</f>
        <v/>
      </c>
      <c r="X29" s="15">
        <f>'Model Engine'!T49-'Model Engine'!T42*(1+$A29)</f>
        <v/>
      </c>
      <c r="Y29" s="15">
        <f>'Model Engine'!U49-'Model Engine'!U42*(1+$A29)</f>
        <v/>
      </c>
    </row>
    <row r="30">
      <c r="A30" s="47">
        <f>Inputs!$B$53*-3</f>
        <v/>
      </c>
      <c r="B30" s="33">
        <f>IFERROR(XIRR($F30:$Y30,'Model Engine'!$B$30:$U$30),"n/a")</f>
        <v/>
      </c>
      <c r="C30" s="46">
        <f>IFERROR(SUMIF($F30:$Y30,"&gt;0")/(-SUMIF($F30:$Y30,"&lt;0")),"n/a")</f>
        <v/>
      </c>
      <c r="F30" s="15">
        <f>'Model Engine'!B49-'Model Engine'!B42*(1+$A30)</f>
        <v/>
      </c>
      <c r="G30" s="15">
        <f>'Model Engine'!C49-'Model Engine'!C42*(1+$A30)</f>
        <v/>
      </c>
      <c r="H30" s="15">
        <f>'Model Engine'!D49-'Model Engine'!D42*(1+$A30)</f>
        <v/>
      </c>
      <c r="I30" s="15">
        <f>'Model Engine'!E49-'Model Engine'!E42*(1+$A30)</f>
        <v/>
      </c>
      <c r="J30" s="15">
        <f>'Model Engine'!F49-'Model Engine'!F42*(1+$A30)</f>
        <v/>
      </c>
      <c r="K30" s="15">
        <f>'Model Engine'!G49-'Model Engine'!G42*(1+$A30)</f>
        <v/>
      </c>
      <c r="L30" s="15">
        <f>'Model Engine'!H49-'Model Engine'!H42*(1+$A30)</f>
        <v/>
      </c>
      <c r="M30" s="15">
        <f>'Model Engine'!I49-'Model Engine'!I42*(1+$A30)</f>
        <v/>
      </c>
      <c r="N30" s="15">
        <f>'Model Engine'!J49-'Model Engine'!J42*(1+$A30)</f>
        <v/>
      </c>
      <c r="O30" s="15">
        <f>'Model Engine'!K49-'Model Engine'!K42*(1+$A30)</f>
        <v/>
      </c>
      <c r="P30" s="15">
        <f>'Model Engine'!L49-'Model Engine'!L42*(1+$A30)</f>
        <v/>
      </c>
      <c r="Q30" s="15">
        <f>'Model Engine'!M49-'Model Engine'!M42*(1+$A30)</f>
        <v/>
      </c>
      <c r="R30" s="15">
        <f>'Model Engine'!N49-'Model Engine'!N42*(1+$A30)</f>
        <v/>
      </c>
      <c r="S30" s="15">
        <f>'Model Engine'!O49-'Model Engine'!O42*(1+$A30)</f>
        <v/>
      </c>
      <c r="T30" s="15">
        <f>'Model Engine'!P49-'Model Engine'!P42*(1+$A30)</f>
        <v/>
      </c>
      <c r="U30" s="15">
        <f>'Model Engine'!Q49-'Model Engine'!Q42*(1+$A30)</f>
        <v/>
      </c>
      <c r="V30" s="15">
        <f>'Model Engine'!R49-'Model Engine'!R42*(1+$A30)</f>
        <v/>
      </c>
      <c r="W30" s="15">
        <f>'Model Engine'!S49-'Model Engine'!S42*(1+$A30)</f>
        <v/>
      </c>
      <c r="X30" s="15">
        <f>'Model Engine'!T49-'Model Engine'!T42*(1+$A30)</f>
        <v/>
      </c>
      <c r="Y30" s="15">
        <f>'Model Engine'!U49-'Model Engine'!U42*(1+$A30)</f>
        <v/>
      </c>
    </row>
    <row r="31">
      <c r="A31" s="47">
        <f>Inputs!$B$53*-2</f>
        <v/>
      </c>
      <c r="B31" s="33">
        <f>IFERROR(XIRR($F31:$Y31,'Model Engine'!$B$30:$U$30),"n/a")</f>
        <v/>
      </c>
      <c r="C31" s="46">
        <f>IFERROR(SUMIF($F31:$Y31,"&gt;0")/(-SUMIF($F31:$Y31,"&lt;0")),"n/a")</f>
        <v/>
      </c>
      <c r="F31" s="15">
        <f>'Model Engine'!B49-'Model Engine'!B42*(1+$A31)</f>
        <v/>
      </c>
      <c r="G31" s="15">
        <f>'Model Engine'!C49-'Model Engine'!C42*(1+$A31)</f>
        <v/>
      </c>
      <c r="H31" s="15">
        <f>'Model Engine'!D49-'Model Engine'!D42*(1+$A31)</f>
        <v/>
      </c>
      <c r="I31" s="15">
        <f>'Model Engine'!E49-'Model Engine'!E42*(1+$A31)</f>
        <v/>
      </c>
      <c r="J31" s="15">
        <f>'Model Engine'!F49-'Model Engine'!F42*(1+$A31)</f>
        <v/>
      </c>
      <c r="K31" s="15">
        <f>'Model Engine'!G49-'Model Engine'!G42*(1+$A31)</f>
        <v/>
      </c>
      <c r="L31" s="15">
        <f>'Model Engine'!H49-'Model Engine'!H42*(1+$A31)</f>
        <v/>
      </c>
      <c r="M31" s="15">
        <f>'Model Engine'!I49-'Model Engine'!I42*(1+$A31)</f>
        <v/>
      </c>
      <c r="N31" s="15">
        <f>'Model Engine'!J49-'Model Engine'!J42*(1+$A31)</f>
        <v/>
      </c>
      <c r="O31" s="15">
        <f>'Model Engine'!K49-'Model Engine'!K42*(1+$A31)</f>
        <v/>
      </c>
      <c r="P31" s="15">
        <f>'Model Engine'!L49-'Model Engine'!L42*(1+$A31)</f>
        <v/>
      </c>
      <c r="Q31" s="15">
        <f>'Model Engine'!M49-'Model Engine'!M42*(1+$A31)</f>
        <v/>
      </c>
      <c r="R31" s="15">
        <f>'Model Engine'!N49-'Model Engine'!N42*(1+$A31)</f>
        <v/>
      </c>
      <c r="S31" s="15">
        <f>'Model Engine'!O49-'Model Engine'!O42*(1+$A31)</f>
        <v/>
      </c>
      <c r="T31" s="15">
        <f>'Model Engine'!P49-'Model Engine'!P42*(1+$A31)</f>
        <v/>
      </c>
      <c r="U31" s="15">
        <f>'Model Engine'!Q49-'Model Engine'!Q42*(1+$A31)</f>
        <v/>
      </c>
      <c r="V31" s="15">
        <f>'Model Engine'!R49-'Model Engine'!R42*(1+$A31)</f>
        <v/>
      </c>
      <c r="W31" s="15">
        <f>'Model Engine'!S49-'Model Engine'!S42*(1+$A31)</f>
        <v/>
      </c>
      <c r="X31" s="15">
        <f>'Model Engine'!T49-'Model Engine'!T42*(1+$A31)</f>
        <v/>
      </c>
      <c r="Y31" s="15">
        <f>'Model Engine'!U49-'Model Engine'!U42*(1+$A31)</f>
        <v/>
      </c>
    </row>
    <row r="32">
      <c r="A32" s="47">
        <f>Inputs!$B$53*-1</f>
        <v/>
      </c>
      <c r="B32" s="33">
        <f>IFERROR(XIRR($F32:$Y32,'Model Engine'!$B$30:$U$30),"n/a")</f>
        <v/>
      </c>
      <c r="C32" s="46">
        <f>IFERROR(SUMIF($F32:$Y32,"&gt;0")/(-SUMIF($F32:$Y32,"&lt;0")),"n/a")</f>
        <v/>
      </c>
      <c r="F32" s="15">
        <f>'Model Engine'!B49-'Model Engine'!B42*(1+$A32)</f>
        <v/>
      </c>
      <c r="G32" s="15">
        <f>'Model Engine'!C49-'Model Engine'!C42*(1+$A32)</f>
        <v/>
      </c>
      <c r="H32" s="15">
        <f>'Model Engine'!D49-'Model Engine'!D42*(1+$A32)</f>
        <v/>
      </c>
      <c r="I32" s="15">
        <f>'Model Engine'!E49-'Model Engine'!E42*(1+$A32)</f>
        <v/>
      </c>
      <c r="J32" s="15">
        <f>'Model Engine'!F49-'Model Engine'!F42*(1+$A32)</f>
        <v/>
      </c>
      <c r="K32" s="15">
        <f>'Model Engine'!G49-'Model Engine'!G42*(1+$A32)</f>
        <v/>
      </c>
      <c r="L32" s="15">
        <f>'Model Engine'!H49-'Model Engine'!H42*(1+$A32)</f>
        <v/>
      </c>
      <c r="M32" s="15">
        <f>'Model Engine'!I49-'Model Engine'!I42*(1+$A32)</f>
        <v/>
      </c>
      <c r="N32" s="15">
        <f>'Model Engine'!J49-'Model Engine'!J42*(1+$A32)</f>
        <v/>
      </c>
      <c r="O32" s="15">
        <f>'Model Engine'!K49-'Model Engine'!K42*(1+$A32)</f>
        <v/>
      </c>
      <c r="P32" s="15">
        <f>'Model Engine'!L49-'Model Engine'!L42*(1+$A32)</f>
        <v/>
      </c>
      <c r="Q32" s="15">
        <f>'Model Engine'!M49-'Model Engine'!M42*(1+$A32)</f>
        <v/>
      </c>
      <c r="R32" s="15">
        <f>'Model Engine'!N49-'Model Engine'!N42*(1+$A32)</f>
        <v/>
      </c>
      <c r="S32" s="15">
        <f>'Model Engine'!O49-'Model Engine'!O42*(1+$A32)</f>
        <v/>
      </c>
      <c r="T32" s="15">
        <f>'Model Engine'!P49-'Model Engine'!P42*(1+$A32)</f>
        <v/>
      </c>
      <c r="U32" s="15">
        <f>'Model Engine'!Q49-'Model Engine'!Q42*(1+$A32)</f>
        <v/>
      </c>
      <c r="V32" s="15">
        <f>'Model Engine'!R49-'Model Engine'!R42*(1+$A32)</f>
        <v/>
      </c>
      <c r="W32" s="15">
        <f>'Model Engine'!S49-'Model Engine'!S42*(1+$A32)</f>
        <v/>
      </c>
      <c r="X32" s="15">
        <f>'Model Engine'!T49-'Model Engine'!T42*(1+$A32)</f>
        <v/>
      </c>
      <c r="Y32" s="15">
        <f>'Model Engine'!U49-'Model Engine'!U42*(1+$A32)</f>
        <v/>
      </c>
    </row>
    <row r="33">
      <c r="A33" s="47">
        <f>Inputs!$B$53*0</f>
        <v/>
      </c>
      <c r="B33" s="33">
        <f>IFERROR(XIRR($F33:$Y33,'Model Engine'!$B$30:$U$30),"n/a")</f>
        <v/>
      </c>
      <c r="C33" s="46">
        <f>IFERROR(SUMIF($F33:$Y33,"&gt;0")/(-SUMIF($F33:$Y33,"&lt;0")),"n/a")</f>
        <v/>
      </c>
      <c r="F33" s="15">
        <f>'Model Engine'!B49-'Model Engine'!B42*(1+$A33)</f>
        <v/>
      </c>
      <c r="G33" s="15">
        <f>'Model Engine'!C49-'Model Engine'!C42*(1+$A33)</f>
        <v/>
      </c>
      <c r="H33" s="15">
        <f>'Model Engine'!D49-'Model Engine'!D42*(1+$A33)</f>
        <v/>
      </c>
      <c r="I33" s="15">
        <f>'Model Engine'!E49-'Model Engine'!E42*(1+$A33)</f>
        <v/>
      </c>
      <c r="J33" s="15">
        <f>'Model Engine'!F49-'Model Engine'!F42*(1+$A33)</f>
        <v/>
      </c>
      <c r="K33" s="15">
        <f>'Model Engine'!G49-'Model Engine'!G42*(1+$A33)</f>
        <v/>
      </c>
      <c r="L33" s="15">
        <f>'Model Engine'!H49-'Model Engine'!H42*(1+$A33)</f>
        <v/>
      </c>
      <c r="M33" s="15">
        <f>'Model Engine'!I49-'Model Engine'!I42*(1+$A33)</f>
        <v/>
      </c>
      <c r="N33" s="15">
        <f>'Model Engine'!J49-'Model Engine'!J42*(1+$A33)</f>
        <v/>
      </c>
      <c r="O33" s="15">
        <f>'Model Engine'!K49-'Model Engine'!K42*(1+$A33)</f>
        <v/>
      </c>
      <c r="P33" s="15">
        <f>'Model Engine'!L49-'Model Engine'!L42*(1+$A33)</f>
        <v/>
      </c>
      <c r="Q33" s="15">
        <f>'Model Engine'!M49-'Model Engine'!M42*(1+$A33)</f>
        <v/>
      </c>
      <c r="R33" s="15">
        <f>'Model Engine'!N49-'Model Engine'!N42*(1+$A33)</f>
        <v/>
      </c>
      <c r="S33" s="15">
        <f>'Model Engine'!O49-'Model Engine'!O42*(1+$A33)</f>
        <v/>
      </c>
      <c r="T33" s="15">
        <f>'Model Engine'!P49-'Model Engine'!P42*(1+$A33)</f>
        <v/>
      </c>
      <c r="U33" s="15">
        <f>'Model Engine'!Q49-'Model Engine'!Q42*(1+$A33)</f>
        <v/>
      </c>
      <c r="V33" s="15">
        <f>'Model Engine'!R49-'Model Engine'!R42*(1+$A33)</f>
        <v/>
      </c>
      <c r="W33" s="15">
        <f>'Model Engine'!S49-'Model Engine'!S42*(1+$A33)</f>
        <v/>
      </c>
      <c r="X33" s="15">
        <f>'Model Engine'!T49-'Model Engine'!T42*(1+$A33)</f>
        <v/>
      </c>
      <c r="Y33" s="15">
        <f>'Model Engine'!U49-'Model Engine'!U42*(1+$A33)</f>
        <v/>
      </c>
    </row>
    <row r="34">
      <c r="A34" s="47">
        <f>Inputs!$B$53*1</f>
        <v/>
      </c>
      <c r="B34" s="33">
        <f>IFERROR(XIRR($F34:$Y34,'Model Engine'!$B$30:$U$30),"n/a")</f>
        <v/>
      </c>
      <c r="C34" s="46">
        <f>IFERROR(SUMIF($F34:$Y34,"&gt;0")/(-SUMIF($F34:$Y34,"&lt;0")),"n/a")</f>
        <v/>
      </c>
      <c r="F34" s="15">
        <f>'Model Engine'!B49-'Model Engine'!B42*(1+$A34)</f>
        <v/>
      </c>
      <c r="G34" s="15">
        <f>'Model Engine'!C49-'Model Engine'!C42*(1+$A34)</f>
        <v/>
      </c>
      <c r="H34" s="15">
        <f>'Model Engine'!D49-'Model Engine'!D42*(1+$A34)</f>
        <v/>
      </c>
      <c r="I34" s="15">
        <f>'Model Engine'!E49-'Model Engine'!E42*(1+$A34)</f>
        <v/>
      </c>
      <c r="J34" s="15">
        <f>'Model Engine'!F49-'Model Engine'!F42*(1+$A34)</f>
        <v/>
      </c>
      <c r="K34" s="15">
        <f>'Model Engine'!G49-'Model Engine'!G42*(1+$A34)</f>
        <v/>
      </c>
      <c r="L34" s="15">
        <f>'Model Engine'!H49-'Model Engine'!H42*(1+$A34)</f>
        <v/>
      </c>
      <c r="M34" s="15">
        <f>'Model Engine'!I49-'Model Engine'!I42*(1+$A34)</f>
        <v/>
      </c>
      <c r="N34" s="15">
        <f>'Model Engine'!J49-'Model Engine'!J42*(1+$A34)</f>
        <v/>
      </c>
      <c r="O34" s="15">
        <f>'Model Engine'!K49-'Model Engine'!K42*(1+$A34)</f>
        <v/>
      </c>
      <c r="P34" s="15">
        <f>'Model Engine'!L49-'Model Engine'!L42*(1+$A34)</f>
        <v/>
      </c>
      <c r="Q34" s="15">
        <f>'Model Engine'!M49-'Model Engine'!M42*(1+$A34)</f>
        <v/>
      </c>
      <c r="R34" s="15">
        <f>'Model Engine'!N49-'Model Engine'!N42*(1+$A34)</f>
        <v/>
      </c>
      <c r="S34" s="15">
        <f>'Model Engine'!O49-'Model Engine'!O42*(1+$A34)</f>
        <v/>
      </c>
      <c r="T34" s="15">
        <f>'Model Engine'!P49-'Model Engine'!P42*(1+$A34)</f>
        <v/>
      </c>
      <c r="U34" s="15">
        <f>'Model Engine'!Q49-'Model Engine'!Q42*(1+$A34)</f>
        <v/>
      </c>
      <c r="V34" s="15">
        <f>'Model Engine'!R49-'Model Engine'!R42*(1+$A34)</f>
        <v/>
      </c>
      <c r="W34" s="15">
        <f>'Model Engine'!S49-'Model Engine'!S42*(1+$A34)</f>
        <v/>
      </c>
      <c r="X34" s="15">
        <f>'Model Engine'!T49-'Model Engine'!T42*(1+$A34)</f>
        <v/>
      </c>
      <c r="Y34" s="15">
        <f>'Model Engine'!U49-'Model Engine'!U42*(1+$A34)</f>
        <v/>
      </c>
    </row>
    <row r="35">
      <c r="A35" s="47">
        <f>Inputs!$B$53*2</f>
        <v/>
      </c>
      <c r="B35" s="33">
        <f>IFERROR(XIRR($F35:$Y35,'Model Engine'!$B$30:$U$30),"n/a")</f>
        <v/>
      </c>
      <c r="C35" s="46">
        <f>IFERROR(SUMIF($F35:$Y35,"&gt;0")/(-SUMIF($F35:$Y35,"&lt;0")),"n/a")</f>
        <v/>
      </c>
      <c r="F35" s="15">
        <f>'Model Engine'!B49-'Model Engine'!B42*(1+$A35)</f>
        <v/>
      </c>
      <c r="G35" s="15">
        <f>'Model Engine'!C49-'Model Engine'!C42*(1+$A35)</f>
        <v/>
      </c>
      <c r="H35" s="15">
        <f>'Model Engine'!D49-'Model Engine'!D42*(1+$A35)</f>
        <v/>
      </c>
      <c r="I35" s="15">
        <f>'Model Engine'!E49-'Model Engine'!E42*(1+$A35)</f>
        <v/>
      </c>
      <c r="J35" s="15">
        <f>'Model Engine'!F49-'Model Engine'!F42*(1+$A35)</f>
        <v/>
      </c>
      <c r="K35" s="15">
        <f>'Model Engine'!G49-'Model Engine'!G42*(1+$A35)</f>
        <v/>
      </c>
      <c r="L35" s="15">
        <f>'Model Engine'!H49-'Model Engine'!H42*(1+$A35)</f>
        <v/>
      </c>
      <c r="M35" s="15">
        <f>'Model Engine'!I49-'Model Engine'!I42*(1+$A35)</f>
        <v/>
      </c>
      <c r="N35" s="15">
        <f>'Model Engine'!J49-'Model Engine'!J42*(1+$A35)</f>
        <v/>
      </c>
      <c r="O35" s="15">
        <f>'Model Engine'!K49-'Model Engine'!K42*(1+$A35)</f>
        <v/>
      </c>
      <c r="P35" s="15">
        <f>'Model Engine'!L49-'Model Engine'!L42*(1+$A35)</f>
        <v/>
      </c>
      <c r="Q35" s="15">
        <f>'Model Engine'!M49-'Model Engine'!M42*(1+$A35)</f>
        <v/>
      </c>
      <c r="R35" s="15">
        <f>'Model Engine'!N49-'Model Engine'!N42*(1+$A35)</f>
        <v/>
      </c>
      <c r="S35" s="15">
        <f>'Model Engine'!O49-'Model Engine'!O42*(1+$A35)</f>
        <v/>
      </c>
      <c r="T35" s="15">
        <f>'Model Engine'!P49-'Model Engine'!P42*(1+$A35)</f>
        <v/>
      </c>
      <c r="U35" s="15">
        <f>'Model Engine'!Q49-'Model Engine'!Q42*(1+$A35)</f>
        <v/>
      </c>
      <c r="V35" s="15">
        <f>'Model Engine'!R49-'Model Engine'!R42*(1+$A35)</f>
        <v/>
      </c>
      <c r="W35" s="15">
        <f>'Model Engine'!S49-'Model Engine'!S42*(1+$A35)</f>
        <v/>
      </c>
      <c r="X35" s="15">
        <f>'Model Engine'!T49-'Model Engine'!T42*(1+$A35)</f>
        <v/>
      </c>
      <c r="Y35" s="15">
        <f>'Model Engine'!U49-'Model Engine'!U42*(1+$A35)</f>
        <v/>
      </c>
    </row>
    <row r="36">
      <c r="A36" s="47">
        <f>Inputs!$B$53*3</f>
        <v/>
      </c>
      <c r="B36" s="33">
        <f>IFERROR(XIRR($F36:$Y36,'Model Engine'!$B$30:$U$30),"n/a")</f>
        <v/>
      </c>
      <c r="C36" s="46">
        <f>IFERROR(SUMIF($F36:$Y36,"&gt;0")/(-SUMIF($F36:$Y36,"&lt;0")),"n/a")</f>
        <v/>
      </c>
      <c r="F36" s="15">
        <f>'Model Engine'!B49-'Model Engine'!B42*(1+$A36)</f>
        <v/>
      </c>
      <c r="G36" s="15">
        <f>'Model Engine'!C49-'Model Engine'!C42*(1+$A36)</f>
        <v/>
      </c>
      <c r="H36" s="15">
        <f>'Model Engine'!D49-'Model Engine'!D42*(1+$A36)</f>
        <v/>
      </c>
      <c r="I36" s="15">
        <f>'Model Engine'!E49-'Model Engine'!E42*(1+$A36)</f>
        <v/>
      </c>
      <c r="J36" s="15">
        <f>'Model Engine'!F49-'Model Engine'!F42*(1+$A36)</f>
        <v/>
      </c>
      <c r="K36" s="15">
        <f>'Model Engine'!G49-'Model Engine'!G42*(1+$A36)</f>
        <v/>
      </c>
      <c r="L36" s="15">
        <f>'Model Engine'!H49-'Model Engine'!H42*(1+$A36)</f>
        <v/>
      </c>
      <c r="M36" s="15">
        <f>'Model Engine'!I49-'Model Engine'!I42*(1+$A36)</f>
        <v/>
      </c>
      <c r="N36" s="15">
        <f>'Model Engine'!J49-'Model Engine'!J42*(1+$A36)</f>
        <v/>
      </c>
      <c r="O36" s="15">
        <f>'Model Engine'!K49-'Model Engine'!K42*(1+$A36)</f>
        <v/>
      </c>
      <c r="P36" s="15">
        <f>'Model Engine'!L49-'Model Engine'!L42*(1+$A36)</f>
        <v/>
      </c>
      <c r="Q36" s="15">
        <f>'Model Engine'!M49-'Model Engine'!M42*(1+$A36)</f>
        <v/>
      </c>
      <c r="R36" s="15">
        <f>'Model Engine'!N49-'Model Engine'!N42*(1+$A36)</f>
        <v/>
      </c>
      <c r="S36" s="15">
        <f>'Model Engine'!O49-'Model Engine'!O42*(1+$A36)</f>
        <v/>
      </c>
      <c r="T36" s="15">
        <f>'Model Engine'!P49-'Model Engine'!P42*(1+$A36)</f>
        <v/>
      </c>
      <c r="U36" s="15">
        <f>'Model Engine'!Q49-'Model Engine'!Q42*(1+$A36)</f>
        <v/>
      </c>
      <c r="V36" s="15">
        <f>'Model Engine'!R49-'Model Engine'!R42*(1+$A36)</f>
        <v/>
      </c>
      <c r="W36" s="15">
        <f>'Model Engine'!S49-'Model Engine'!S42*(1+$A36)</f>
        <v/>
      </c>
      <c r="X36" s="15">
        <f>'Model Engine'!T49-'Model Engine'!T42*(1+$A36)</f>
        <v/>
      </c>
      <c r="Y36" s="15">
        <f>'Model Engine'!U49-'Model Engine'!U42*(1+$A36)</f>
        <v/>
      </c>
    </row>
    <row r="37">
      <c r="A37" s="47">
        <f>Inputs!$B$53*4</f>
        <v/>
      </c>
      <c r="B37" s="33">
        <f>IFERROR(XIRR($F37:$Y37,'Model Engine'!$B$30:$U$30),"n/a")</f>
        <v/>
      </c>
      <c r="C37" s="46">
        <f>IFERROR(SUMIF($F37:$Y37,"&gt;0")/(-SUMIF($F37:$Y37,"&lt;0")),"n/a")</f>
        <v/>
      </c>
      <c r="F37" s="15">
        <f>'Model Engine'!B49-'Model Engine'!B42*(1+$A37)</f>
        <v/>
      </c>
      <c r="G37" s="15">
        <f>'Model Engine'!C49-'Model Engine'!C42*(1+$A37)</f>
        <v/>
      </c>
      <c r="H37" s="15">
        <f>'Model Engine'!D49-'Model Engine'!D42*(1+$A37)</f>
        <v/>
      </c>
      <c r="I37" s="15">
        <f>'Model Engine'!E49-'Model Engine'!E42*(1+$A37)</f>
        <v/>
      </c>
      <c r="J37" s="15">
        <f>'Model Engine'!F49-'Model Engine'!F42*(1+$A37)</f>
        <v/>
      </c>
      <c r="K37" s="15">
        <f>'Model Engine'!G49-'Model Engine'!G42*(1+$A37)</f>
        <v/>
      </c>
      <c r="L37" s="15">
        <f>'Model Engine'!H49-'Model Engine'!H42*(1+$A37)</f>
        <v/>
      </c>
      <c r="M37" s="15">
        <f>'Model Engine'!I49-'Model Engine'!I42*(1+$A37)</f>
        <v/>
      </c>
      <c r="N37" s="15">
        <f>'Model Engine'!J49-'Model Engine'!J42*(1+$A37)</f>
        <v/>
      </c>
      <c r="O37" s="15">
        <f>'Model Engine'!K49-'Model Engine'!K42*(1+$A37)</f>
        <v/>
      </c>
      <c r="P37" s="15">
        <f>'Model Engine'!L49-'Model Engine'!L42*(1+$A37)</f>
        <v/>
      </c>
      <c r="Q37" s="15">
        <f>'Model Engine'!M49-'Model Engine'!M42*(1+$A37)</f>
        <v/>
      </c>
      <c r="R37" s="15">
        <f>'Model Engine'!N49-'Model Engine'!N42*(1+$A37)</f>
        <v/>
      </c>
      <c r="S37" s="15">
        <f>'Model Engine'!O49-'Model Engine'!O42*(1+$A37)</f>
        <v/>
      </c>
      <c r="T37" s="15">
        <f>'Model Engine'!P49-'Model Engine'!P42*(1+$A37)</f>
        <v/>
      </c>
      <c r="U37" s="15">
        <f>'Model Engine'!Q49-'Model Engine'!Q42*(1+$A37)</f>
        <v/>
      </c>
      <c r="V37" s="15">
        <f>'Model Engine'!R49-'Model Engine'!R42*(1+$A37)</f>
        <v/>
      </c>
      <c r="W37" s="15">
        <f>'Model Engine'!S49-'Model Engine'!S42*(1+$A37)</f>
        <v/>
      </c>
      <c r="X37" s="15">
        <f>'Model Engine'!T49-'Model Engine'!T42*(1+$A37)</f>
        <v/>
      </c>
      <c r="Y37" s="15">
        <f>'Model Engine'!U49-'Model Engine'!U42*(1+$A37)</f>
        <v/>
      </c>
    </row>
    <row r="38">
      <c r="A38" s="12" t="inlineStr">
        <is>
          <t>SENSITIVITY — EXIT PRICE SHIFT vs UNLEVERED IRR</t>
        </is>
      </c>
    </row>
    <row r="39">
      <c r="A39" s="21" t="inlineStr">
        <is>
          <t>Exit Shift</t>
        </is>
      </c>
      <c r="B39" s="22" t="inlineStr">
        <is>
          <t>Unlev IRR</t>
        </is>
      </c>
      <c r="C39" s="22" t="inlineStr">
        <is>
          <t>MOIC (Unlev)</t>
        </is>
      </c>
      <c r="E39" s="5" t="inlineStr">
        <is>
          <t>Helper CF strip  →</t>
        </is>
      </c>
      <c r="F39" s="45" t="inlineStr">
        <is>
          <t>P1</t>
        </is>
      </c>
      <c r="G39" s="45" t="inlineStr">
        <is>
          <t>P2</t>
        </is>
      </c>
      <c r="H39" s="45" t="inlineStr">
        <is>
          <t>P3</t>
        </is>
      </c>
      <c r="I39" s="45" t="inlineStr">
        <is>
          <t>P4</t>
        </is>
      </c>
      <c r="J39" s="45" t="inlineStr">
        <is>
          <t>P5</t>
        </is>
      </c>
      <c r="K39" s="45" t="inlineStr">
        <is>
          <t>P6</t>
        </is>
      </c>
      <c r="L39" s="45" t="inlineStr">
        <is>
          <t>P7</t>
        </is>
      </c>
      <c r="M39" s="45" t="inlineStr">
        <is>
          <t>P8</t>
        </is>
      </c>
      <c r="N39" s="45" t="inlineStr">
        <is>
          <t>P9</t>
        </is>
      </c>
      <c r="O39" s="45" t="inlineStr">
        <is>
          <t>P10</t>
        </is>
      </c>
      <c r="P39" s="45" t="inlineStr">
        <is>
          <t>P11</t>
        </is>
      </c>
      <c r="Q39" s="45" t="inlineStr">
        <is>
          <t>P12</t>
        </is>
      </c>
      <c r="R39" s="45" t="inlineStr">
        <is>
          <t>P13</t>
        </is>
      </c>
      <c r="S39" s="45" t="inlineStr">
        <is>
          <t>P14</t>
        </is>
      </c>
      <c r="T39" s="45" t="inlineStr">
        <is>
          <t>P15</t>
        </is>
      </c>
      <c r="U39" s="45" t="inlineStr">
        <is>
          <t>P16</t>
        </is>
      </c>
      <c r="V39" s="45" t="inlineStr">
        <is>
          <t>P17</t>
        </is>
      </c>
      <c r="W39" s="45" t="inlineStr">
        <is>
          <t>P18</t>
        </is>
      </c>
      <c r="X39" s="45" t="inlineStr">
        <is>
          <t>P19</t>
        </is>
      </c>
      <c r="Y39" s="45" t="inlineStr">
        <is>
          <t>P20</t>
        </is>
      </c>
    </row>
    <row r="40">
      <c r="A40" s="47">
        <f>Inputs!$B$54*-4</f>
        <v/>
      </c>
      <c r="B40" s="33">
        <f>IFERROR(XIRR($F40:$Y40,'Model Engine'!$B$30:$U$30),"n/a")</f>
        <v/>
      </c>
      <c r="C40" s="46">
        <f>IFERROR(SUMIF($F40:$Y40,"&gt;0")/(-SUMIF($F40:$Y40,"&lt;0")),"n/a")</f>
        <v/>
      </c>
      <c r="F40" s="15">
        <f>('Model Engine'!B44+'Model Engine'!B45*(1+$A40))*(1-Inputs!$B$32-Inputs!$B$33)-'Model Engine'!B42</f>
        <v/>
      </c>
      <c r="G40" s="15">
        <f>('Model Engine'!C44+'Model Engine'!C45*(1+$A40))*(1-Inputs!$B$32-Inputs!$B$33)-'Model Engine'!C42</f>
        <v/>
      </c>
      <c r="H40" s="15">
        <f>('Model Engine'!D44+'Model Engine'!D45*(1+$A40))*(1-Inputs!$B$32-Inputs!$B$33)-'Model Engine'!D42</f>
        <v/>
      </c>
      <c r="I40" s="15">
        <f>('Model Engine'!E44+'Model Engine'!E45*(1+$A40))*(1-Inputs!$B$32-Inputs!$B$33)-'Model Engine'!E42</f>
        <v/>
      </c>
      <c r="J40" s="15">
        <f>('Model Engine'!F44+'Model Engine'!F45*(1+$A40))*(1-Inputs!$B$32-Inputs!$B$33)-'Model Engine'!F42</f>
        <v/>
      </c>
      <c r="K40" s="15">
        <f>('Model Engine'!G44+'Model Engine'!G45*(1+$A40))*(1-Inputs!$B$32-Inputs!$B$33)-'Model Engine'!G42</f>
        <v/>
      </c>
      <c r="L40" s="15">
        <f>('Model Engine'!H44+'Model Engine'!H45*(1+$A40))*(1-Inputs!$B$32-Inputs!$B$33)-'Model Engine'!H42</f>
        <v/>
      </c>
      <c r="M40" s="15">
        <f>('Model Engine'!I44+'Model Engine'!I45*(1+$A40))*(1-Inputs!$B$32-Inputs!$B$33)-'Model Engine'!I42</f>
        <v/>
      </c>
      <c r="N40" s="15">
        <f>('Model Engine'!J44+'Model Engine'!J45*(1+$A40))*(1-Inputs!$B$32-Inputs!$B$33)-'Model Engine'!J42</f>
        <v/>
      </c>
      <c r="O40" s="15">
        <f>('Model Engine'!K44+'Model Engine'!K45*(1+$A40))*(1-Inputs!$B$32-Inputs!$B$33)-'Model Engine'!K42</f>
        <v/>
      </c>
      <c r="P40" s="15">
        <f>('Model Engine'!L44+'Model Engine'!L45*(1+$A40))*(1-Inputs!$B$32-Inputs!$B$33)-'Model Engine'!L42</f>
        <v/>
      </c>
      <c r="Q40" s="15">
        <f>('Model Engine'!M44+'Model Engine'!M45*(1+$A40))*(1-Inputs!$B$32-Inputs!$B$33)-'Model Engine'!M42</f>
        <v/>
      </c>
      <c r="R40" s="15">
        <f>('Model Engine'!N44+'Model Engine'!N45*(1+$A40))*(1-Inputs!$B$32-Inputs!$B$33)-'Model Engine'!N42</f>
        <v/>
      </c>
      <c r="S40" s="15">
        <f>('Model Engine'!O44+'Model Engine'!O45*(1+$A40))*(1-Inputs!$B$32-Inputs!$B$33)-'Model Engine'!O42</f>
        <v/>
      </c>
      <c r="T40" s="15">
        <f>('Model Engine'!P44+'Model Engine'!P45*(1+$A40))*(1-Inputs!$B$32-Inputs!$B$33)-'Model Engine'!P42</f>
        <v/>
      </c>
      <c r="U40" s="15">
        <f>('Model Engine'!Q44+'Model Engine'!Q45*(1+$A40))*(1-Inputs!$B$32-Inputs!$B$33)-'Model Engine'!Q42</f>
        <v/>
      </c>
      <c r="V40" s="15">
        <f>('Model Engine'!R44+'Model Engine'!R45*(1+$A40))*(1-Inputs!$B$32-Inputs!$B$33)-'Model Engine'!R42</f>
        <v/>
      </c>
      <c r="W40" s="15">
        <f>('Model Engine'!S44+'Model Engine'!S45*(1+$A40))*(1-Inputs!$B$32-Inputs!$B$33)-'Model Engine'!S42</f>
        <v/>
      </c>
      <c r="X40" s="15">
        <f>('Model Engine'!T44+'Model Engine'!T45*(1+$A40))*(1-Inputs!$B$32-Inputs!$B$33)-'Model Engine'!T42</f>
        <v/>
      </c>
      <c r="Y40" s="15">
        <f>('Model Engine'!U44+'Model Engine'!U45*(1+$A40))*(1-Inputs!$B$32-Inputs!$B$33)-'Model Engine'!U42</f>
        <v/>
      </c>
    </row>
    <row r="41">
      <c r="A41" s="47">
        <f>Inputs!$B$54*-3</f>
        <v/>
      </c>
      <c r="B41" s="33">
        <f>IFERROR(XIRR($F41:$Y41,'Model Engine'!$B$30:$U$30),"n/a")</f>
        <v/>
      </c>
      <c r="C41" s="46">
        <f>IFERROR(SUMIF($F41:$Y41,"&gt;0")/(-SUMIF($F41:$Y41,"&lt;0")),"n/a")</f>
        <v/>
      </c>
      <c r="F41" s="15">
        <f>('Model Engine'!B44+'Model Engine'!B45*(1+$A41))*(1-Inputs!$B$32-Inputs!$B$33)-'Model Engine'!B42</f>
        <v/>
      </c>
      <c r="G41" s="15">
        <f>('Model Engine'!C44+'Model Engine'!C45*(1+$A41))*(1-Inputs!$B$32-Inputs!$B$33)-'Model Engine'!C42</f>
        <v/>
      </c>
      <c r="H41" s="15">
        <f>('Model Engine'!D44+'Model Engine'!D45*(1+$A41))*(1-Inputs!$B$32-Inputs!$B$33)-'Model Engine'!D42</f>
        <v/>
      </c>
      <c r="I41" s="15">
        <f>('Model Engine'!E44+'Model Engine'!E45*(1+$A41))*(1-Inputs!$B$32-Inputs!$B$33)-'Model Engine'!E42</f>
        <v/>
      </c>
      <c r="J41" s="15">
        <f>('Model Engine'!F44+'Model Engine'!F45*(1+$A41))*(1-Inputs!$B$32-Inputs!$B$33)-'Model Engine'!F42</f>
        <v/>
      </c>
      <c r="K41" s="15">
        <f>('Model Engine'!G44+'Model Engine'!G45*(1+$A41))*(1-Inputs!$B$32-Inputs!$B$33)-'Model Engine'!G42</f>
        <v/>
      </c>
      <c r="L41" s="15">
        <f>('Model Engine'!H44+'Model Engine'!H45*(1+$A41))*(1-Inputs!$B$32-Inputs!$B$33)-'Model Engine'!H42</f>
        <v/>
      </c>
      <c r="M41" s="15">
        <f>('Model Engine'!I44+'Model Engine'!I45*(1+$A41))*(1-Inputs!$B$32-Inputs!$B$33)-'Model Engine'!I42</f>
        <v/>
      </c>
      <c r="N41" s="15">
        <f>('Model Engine'!J44+'Model Engine'!J45*(1+$A41))*(1-Inputs!$B$32-Inputs!$B$33)-'Model Engine'!J42</f>
        <v/>
      </c>
      <c r="O41" s="15">
        <f>('Model Engine'!K44+'Model Engine'!K45*(1+$A41))*(1-Inputs!$B$32-Inputs!$B$33)-'Model Engine'!K42</f>
        <v/>
      </c>
      <c r="P41" s="15">
        <f>('Model Engine'!L44+'Model Engine'!L45*(1+$A41))*(1-Inputs!$B$32-Inputs!$B$33)-'Model Engine'!L42</f>
        <v/>
      </c>
      <c r="Q41" s="15">
        <f>('Model Engine'!M44+'Model Engine'!M45*(1+$A41))*(1-Inputs!$B$32-Inputs!$B$33)-'Model Engine'!M42</f>
        <v/>
      </c>
      <c r="R41" s="15">
        <f>('Model Engine'!N44+'Model Engine'!N45*(1+$A41))*(1-Inputs!$B$32-Inputs!$B$33)-'Model Engine'!N42</f>
        <v/>
      </c>
      <c r="S41" s="15">
        <f>('Model Engine'!O44+'Model Engine'!O45*(1+$A41))*(1-Inputs!$B$32-Inputs!$B$33)-'Model Engine'!O42</f>
        <v/>
      </c>
      <c r="T41" s="15">
        <f>('Model Engine'!P44+'Model Engine'!P45*(1+$A41))*(1-Inputs!$B$32-Inputs!$B$33)-'Model Engine'!P42</f>
        <v/>
      </c>
      <c r="U41" s="15">
        <f>('Model Engine'!Q44+'Model Engine'!Q45*(1+$A41))*(1-Inputs!$B$32-Inputs!$B$33)-'Model Engine'!Q42</f>
        <v/>
      </c>
      <c r="V41" s="15">
        <f>('Model Engine'!R44+'Model Engine'!R45*(1+$A41))*(1-Inputs!$B$32-Inputs!$B$33)-'Model Engine'!R42</f>
        <v/>
      </c>
      <c r="W41" s="15">
        <f>('Model Engine'!S44+'Model Engine'!S45*(1+$A41))*(1-Inputs!$B$32-Inputs!$B$33)-'Model Engine'!S42</f>
        <v/>
      </c>
      <c r="X41" s="15">
        <f>('Model Engine'!T44+'Model Engine'!T45*(1+$A41))*(1-Inputs!$B$32-Inputs!$B$33)-'Model Engine'!T42</f>
        <v/>
      </c>
      <c r="Y41" s="15">
        <f>('Model Engine'!U44+'Model Engine'!U45*(1+$A41))*(1-Inputs!$B$32-Inputs!$B$33)-'Model Engine'!U42</f>
        <v/>
      </c>
    </row>
    <row r="42">
      <c r="A42" s="47">
        <f>Inputs!$B$54*-2</f>
        <v/>
      </c>
      <c r="B42" s="33">
        <f>IFERROR(XIRR($F42:$Y42,'Model Engine'!$B$30:$U$30),"n/a")</f>
        <v/>
      </c>
      <c r="C42" s="46">
        <f>IFERROR(SUMIF($F42:$Y42,"&gt;0")/(-SUMIF($F42:$Y42,"&lt;0")),"n/a")</f>
        <v/>
      </c>
      <c r="F42" s="15">
        <f>('Model Engine'!B44+'Model Engine'!B45*(1+$A42))*(1-Inputs!$B$32-Inputs!$B$33)-'Model Engine'!B42</f>
        <v/>
      </c>
      <c r="G42" s="15">
        <f>('Model Engine'!C44+'Model Engine'!C45*(1+$A42))*(1-Inputs!$B$32-Inputs!$B$33)-'Model Engine'!C42</f>
        <v/>
      </c>
      <c r="H42" s="15">
        <f>('Model Engine'!D44+'Model Engine'!D45*(1+$A42))*(1-Inputs!$B$32-Inputs!$B$33)-'Model Engine'!D42</f>
        <v/>
      </c>
      <c r="I42" s="15">
        <f>('Model Engine'!E44+'Model Engine'!E45*(1+$A42))*(1-Inputs!$B$32-Inputs!$B$33)-'Model Engine'!E42</f>
        <v/>
      </c>
      <c r="J42" s="15">
        <f>('Model Engine'!F44+'Model Engine'!F45*(1+$A42))*(1-Inputs!$B$32-Inputs!$B$33)-'Model Engine'!F42</f>
        <v/>
      </c>
      <c r="K42" s="15">
        <f>('Model Engine'!G44+'Model Engine'!G45*(1+$A42))*(1-Inputs!$B$32-Inputs!$B$33)-'Model Engine'!G42</f>
        <v/>
      </c>
      <c r="L42" s="15">
        <f>('Model Engine'!H44+'Model Engine'!H45*(1+$A42))*(1-Inputs!$B$32-Inputs!$B$33)-'Model Engine'!H42</f>
        <v/>
      </c>
      <c r="M42" s="15">
        <f>('Model Engine'!I44+'Model Engine'!I45*(1+$A42))*(1-Inputs!$B$32-Inputs!$B$33)-'Model Engine'!I42</f>
        <v/>
      </c>
      <c r="N42" s="15">
        <f>('Model Engine'!J44+'Model Engine'!J45*(1+$A42))*(1-Inputs!$B$32-Inputs!$B$33)-'Model Engine'!J42</f>
        <v/>
      </c>
      <c r="O42" s="15">
        <f>('Model Engine'!K44+'Model Engine'!K45*(1+$A42))*(1-Inputs!$B$32-Inputs!$B$33)-'Model Engine'!K42</f>
        <v/>
      </c>
      <c r="P42" s="15">
        <f>('Model Engine'!L44+'Model Engine'!L45*(1+$A42))*(1-Inputs!$B$32-Inputs!$B$33)-'Model Engine'!L42</f>
        <v/>
      </c>
      <c r="Q42" s="15">
        <f>('Model Engine'!M44+'Model Engine'!M45*(1+$A42))*(1-Inputs!$B$32-Inputs!$B$33)-'Model Engine'!M42</f>
        <v/>
      </c>
      <c r="R42" s="15">
        <f>('Model Engine'!N44+'Model Engine'!N45*(1+$A42))*(1-Inputs!$B$32-Inputs!$B$33)-'Model Engine'!N42</f>
        <v/>
      </c>
      <c r="S42" s="15">
        <f>('Model Engine'!O44+'Model Engine'!O45*(1+$A42))*(1-Inputs!$B$32-Inputs!$B$33)-'Model Engine'!O42</f>
        <v/>
      </c>
      <c r="T42" s="15">
        <f>('Model Engine'!P44+'Model Engine'!P45*(1+$A42))*(1-Inputs!$B$32-Inputs!$B$33)-'Model Engine'!P42</f>
        <v/>
      </c>
      <c r="U42" s="15">
        <f>('Model Engine'!Q44+'Model Engine'!Q45*(1+$A42))*(1-Inputs!$B$32-Inputs!$B$33)-'Model Engine'!Q42</f>
        <v/>
      </c>
      <c r="V42" s="15">
        <f>('Model Engine'!R44+'Model Engine'!R45*(1+$A42))*(1-Inputs!$B$32-Inputs!$B$33)-'Model Engine'!R42</f>
        <v/>
      </c>
      <c r="W42" s="15">
        <f>('Model Engine'!S44+'Model Engine'!S45*(1+$A42))*(1-Inputs!$B$32-Inputs!$B$33)-'Model Engine'!S42</f>
        <v/>
      </c>
      <c r="X42" s="15">
        <f>('Model Engine'!T44+'Model Engine'!T45*(1+$A42))*(1-Inputs!$B$32-Inputs!$B$33)-'Model Engine'!T42</f>
        <v/>
      </c>
      <c r="Y42" s="15">
        <f>('Model Engine'!U44+'Model Engine'!U45*(1+$A42))*(1-Inputs!$B$32-Inputs!$B$33)-'Model Engine'!U42</f>
        <v/>
      </c>
    </row>
    <row r="43">
      <c r="A43" s="47">
        <f>Inputs!$B$54*-1</f>
        <v/>
      </c>
      <c r="B43" s="33">
        <f>IFERROR(XIRR($F43:$Y43,'Model Engine'!$B$30:$U$30),"n/a")</f>
        <v/>
      </c>
      <c r="C43" s="46">
        <f>IFERROR(SUMIF($F43:$Y43,"&gt;0")/(-SUMIF($F43:$Y43,"&lt;0")),"n/a")</f>
        <v/>
      </c>
      <c r="F43" s="15">
        <f>('Model Engine'!B44+'Model Engine'!B45*(1+$A43))*(1-Inputs!$B$32-Inputs!$B$33)-'Model Engine'!B42</f>
        <v/>
      </c>
      <c r="G43" s="15">
        <f>('Model Engine'!C44+'Model Engine'!C45*(1+$A43))*(1-Inputs!$B$32-Inputs!$B$33)-'Model Engine'!C42</f>
        <v/>
      </c>
      <c r="H43" s="15">
        <f>('Model Engine'!D44+'Model Engine'!D45*(1+$A43))*(1-Inputs!$B$32-Inputs!$B$33)-'Model Engine'!D42</f>
        <v/>
      </c>
      <c r="I43" s="15">
        <f>('Model Engine'!E44+'Model Engine'!E45*(1+$A43))*(1-Inputs!$B$32-Inputs!$B$33)-'Model Engine'!E42</f>
        <v/>
      </c>
      <c r="J43" s="15">
        <f>('Model Engine'!F44+'Model Engine'!F45*(1+$A43))*(1-Inputs!$B$32-Inputs!$B$33)-'Model Engine'!F42</f>
        <v/>
      </c>
      <c r="K43" s="15">
        <f>('Model Engine'!G44+'Model Engine'!G45*(1+$A43))*(1-Inputs!$B$32-Inputs!$B$33)-'Model Engine'!G42</f>
        <v/>
      </c>
      <c r="L43" s="15">
        <f>('Model Engine'!H44+'Model Engine'!H45*(1+$A43))*(1-Inputs!$B$32-Inputs!$B$33)-'Model Engine'!H42</f>
        <v/>
      </c>
      <c r="M43" s="15">
        <f>('Model Engine'!I44+'Model Engine'!I45*(1+$A43))*(1-Inputs!$B$32-Inputs!$B$33)-'Model Engine'!I42</f>
        <v/>
      </c>
      <c r="N43" s="15">
        <f>('Model Engine'!J44+'Model Engine'!J45*(1+$A43))*(1-Inputs!$B$32-Inputs!$B$33)-'Model Engine'!J42</f>
        <v/>
      </c>
      <c r="O43" s="15">
        <f>('Model Engine'!K44+'Model Engine'!K45*(1+$A43))*(1-Inputs!$B$32-Inputs!$B$33)-'Model Engine'!K42</f>
        <v/>
      </c>
      <c r="P43" s="15">
        <f>('Model Engine'!L44+'Model Engine'!L45*(1+$A43))*(1-Inputs!$B$32-Inputs!$B$33)-'Model Engine'!L42</f>
        <v/>
      </c>
      <c r="Q43" s="15">
        <f>('Model Engine'!M44+'Model Engine'!M45*(1+$A43))*(1-Inputs!$B$32-Inputs!$B$33)-'Model Engine'!M42</f>
        <v/>
      </c>
      <c r="R43" s="15">
        <f>('Model Engine'!N44+'Model Engine'!N45*(1+$A43))*(1-Inputs!$B$32-Inputs!$B$33)-'Model Engine'!N42</f>
        <v/>
      </c>
      <c r="S43" s="15">
        <f>('Model Engine'!O44+'Model Engine'!O45*(1+$A43))*(1-Inputs!$B$32-Inputs!$B$33)-'Model Engine'!O42</f>
        <v/>
      </c>
      <c r="T43" s="15">
        <f>('Model Engine'!P44+'Model Engine'!P45*(1+$A43))*(1-Inputs!$B$32-Inputs!$B$33)-'Model Engine'!P42</f>
        <v/>
      </c>
      <c r="U43" s="15">
        <f>('Model Engine'!Q44+'Model Engine'!Q45*(1+$A43))*(1-Inputs!$B$32-Inputs!$B$33)-'Model Engine'!Q42</f>
        <v/>
      </c>
      <c r="V43" s="15">
        <f>('Model Engine'!R44+'Model Engine'!R45*(1+$A43))*(1-Inputs!$B$32-Inputs!$B$33)-'Model Engine'!R42</f>
        <v/>
      </c>
      <c r="W43" s="15">
        <f>('Model Engine'!S44+'Model Engine'!S45*(1+$A43))*(1-Inputs!$B$32-Inputs!$B$33)-'Model Engine'!S42</f>
        <v/>
      </c>
      <c r="X43" s="15">
        <f>('Model Engine'!T44+'Model Engine'!T45*(1+$A43))*(1-Inputs!$B$32-Inputs!$B$33)-'Model Engine'!T42</f>
        <v/>
      </c>
      <c r="Y43" s="15">
        <f>('Model Engine'!U44+'Model Engine'!U45*(1+$A43))*(1-Inputs!$B$32-Inputs!$B$33)-'Model Engine'!U42</f>
        <v/>
      </c>
    </row>
    <row r="44">
      <c r="A44" s="47">
        <f>Inputs!$B$54*0</f>
        <v/>
      </c>
      <c r="B44" s="33">
        <f>IFERROR(XIRR($F44:$Y44,'Model Engine'!$B$30:$U$30),"n/a")</f>
        <v/>
      </c>
      <c r="C44" s="46">
        <f>IFERROR(SUMIF($F44:$Y44,"&gt;0")/(-SUMIF($F44:$Y44,"&lt;0")),"n/a")</f>
        <v/>
      </c>
      <c r="F44" s="15">
        <f>('Model Engine'!B44+'Model Engine'!B45*(1+$A44))*(1-Inputs!$B$32-Inputs!$B$33)-'Model Engine'!B42</f>
        <v/>
      </c>
      <c r="G44" s="15">
        <f>('Model Engine'!C44+'Model Engine'!C45*(1+$A44))*(1-Inputs!$B$32-Inputs!$B$33)-'Model Engine'!C42</f>
        <v/>
      </c>
      <c r="H44" s="15">
        <f>('Model Engine'!D44+'Model Engine'!D45*(1+$A44))*(1-Inputs!$B$32-Inputs!$B$33)-'Model Engine'!D42</f>
        <v/>
      </c>
      <c r="I44" s="15">
        <f>('Model Engine'!E44+'Model Engine'!E45*(1+$A44))*(1-Inputs!$B$32-Inputs!$B$33)-'Model Engine'!E42</f>
        <v/>
      </c>
      <c r="J44" s="15">
        <f>('Model Engine'!F44+'Model Engine'!F45*(1+$A44))*(1-Inputs!$B$32-Inputs!$B$33)-'Model Engine'!F42</f>
        <v/>
      </c>
      <c r="K44" s="15">
        <f>('Model Engine'!G44+'Model Engine'!G45*(1+$A44))*(1-Inputs!$B$32-Inputs!$B$33)-'Model Engine'!G42</f>
        <v/>
      </c>
      <c r="L44" s="15">
        <f>('Model Engine'!H44+'Model Engine'!H45*(1+$A44))*(1-Inputs!$B$32-Inputs!$B$33)-'Model Engine'!H42</f>
        <v/>
      </c>
      <c r="M44" s="15">
        <f>('Model Engine'!I44+'Model Engine'!I45*(1+$A44))*(1-Inputs!$B$32-Inputs!$B$33)-'Model Engine'!I42</f>
        <v/>
      </c>
      <c r="N44" s="15">
        <f>('Model Engine'!J44+'Model Engine'!J45*(1+$A44))*(1-Inputs!$B$32-Inputs!$B$33)-'Model Engine'!J42</f>
        <v/>
      </c>
      <c r="O44" s="15">
        <f>('Model Engine'!K44+'Model Engine'!K45*(1+$A44))*(1-Inputs!$B$32-Inputs!$B$33)-'Model Engine'!K42</f>
        <v/>
      </c>
      <c r="P44" s="15">
        <f>('Model Engine'!L44+'Model Engine'!L45*(1+$A44))*(1-Inputs!$B$32-Inputs!$B$33)-'Model Engine'!L42</f>
        <v/>
      </c>
      <c r="Q44" s="15">
        <f>('Model Engine'!M44+'Model Engine'!M45*(1+$A44))*(1-Inputs!$B$32-Inputs!$B$33)-'Model Engine'!M42</f>
        <v/>
      </c>
      <c r="R44" s="15">
        <f>('Model Engine'!N44+'Model Engine'!N45*(1+$A44))*(1-Inputs!$B$32-Inputs!$B$33)-'Model Engine'!N42</f>
        <v/>
      </c>
      <c r="S44" s="15">
        <f>('Model Engine'!O44+'Model Engine'!O45*(1+$A44))*(1-Inputs!$B$32-Inputs!$B$33)-'Model Engine'!O42</f>
        <v/>
      </c>
      <c r="T44" s="15">
        <f>('Model Engine'!P44+'Model Engine'!P45*(1+$A44))*(1-Inputs!$B$32-Inputs!$B$33)-'Model Engine'!P42</f>
        <v/>
      </c>
      <c r="U44" s="15">
        <f>('Model Engine'!Q44+'Model Engine'!Q45*(1+$A44))*(1-Inputs!$B$32-Inputs!$B$33)-'Model Engine'!Q42</f>
        <v/>
      </c>
      <c r="V44" s="15">
        <f>('Model Engine'!R44+'Model Engine'!R45*(1+$A44))*(1-Inputs!$B$32-Inputs!$B$33)-'Model Engine'!R42</f>
        <v/>
      </c>
      <c r="W44" s="15">
        <f>('Model Engine'!S44+'Model Engine'!S45*(1+$A44))*(1-Inputs!$B$32-Inputs!$B$33)-'Model Engine'!S42</f>
        <v/>
      </c>
      <c r="X44" s="15">
        <f>('Model Engine'!T44+'Model Engine'!T45*(1+$A44))*(1-Inputs!$B$32-Inputs!$B$33)-'Model Engine'!T42</f>
        <v/>
      </c>
      <c r="Y44" s="15">
        <f>('Model Engine'!U44+'Model Engine'!U45*(1+$A44))*(1-Inputs!$B$32-Inputs!$B$33)-'Model Engine'!U42</f>
        <v/>
      </c>
    </row>
    <row r="45">
      <c r="A45" s="47">
        <f>Inputs!$B$54*1</f>
        <v/>
      </c>
      <c r="B45" s="33">
        <f>IFERROR(XIRR($F45:$Y45,'Model Engine'!$B$30:$U$30),"n/a")</f>
        <v/>
      </c>
      <c r="C45" s="46">
        <f>IFERROR(SUMIF($F45:$Y45,"&gt;0")/(-SUMIF($F45:$Y45,"&lt;0")),"n/a")</f>
        <v/>
      </c>
      <c r="F45" s="15">
        <f>('Model Engine'!B44+'Model Engine'!B45*(1+$A45))*(1-Inputs!$B$32-Inputs!$B$33)-'Model Engine'!B42</f>
        <v/>
      </c>
      <c r="G45" s="15">
        <f>('Model Engine'!C44+'Model Engine'!C45*(1+$A45))*(1-Inputs!$B$32-Inputs!$B$33)-'Model Engine'!C42</f>
        <v/>
      </c>
      <c r="H45" s="15">
        <f>('Model Engine'!D44+'Model Engine'!D45*(1+$A45))*(1-Inputs!$B$32-Inputs!$B$33)-'Model Engine'!D42</f>
        <v/>
      </c>
      <c r="I45" s="15">
        <f>('Model Engine'!E44+'Model Engine'!E45*(1+$A45))*(1-Inputs!$B$32-Inputs!$B$33)-'Model Engine'!E42</f>
        <v/>
      </c>
      <c r="J45" s="15">
        <f>('Model Engine'!F44+'Model Engine'!F45*(1+$A45))*(1-Inputs!$B$32-Inputs!$B$33)-'Model Engine'!F42</f>
        <v/>
      </c>
      <c r="K45" s="15">
        <f>('Model Engine'!G44+'Model Engine'!G45*(1+$A45))*(1-Inputs!$B$32-Inputs!$B$33)-'Model Engine'!G42</f>
        <v/>
      </c>
      <c r="L45" s="15">
        <f>('Model Engine'!H44+'Model Engine'!H45*(1+$A45))*(1-Inputs!$B$32-Inputs!$B$33)-'Model Engine'!H42</f>
        <v/>
      </c>
      <c r="M45" s="15">
        <f>('Model Engine'!I44+'Model Engine'!I45*(1+$A45))*(1-Inputs!$B$32-Inputs!$B$33)-'Model Engine'!I42</f>
        <v/>
      </c>
      <c r="N45" s="15">
        <f>('Model Engine'!J44+'Model Engine'!J45*(1+$A45))*(1-Inputs!$B$32-Inputs!$B$33)-'Model Engine'!J42</f>
        <v/>
      </c>
      <c r="O45" s="15">
        <f>('Model Engine'!K44+'Model Engine'!K45*(1+$A45))*(1-Inputs!$B$32-Inputs!$B$33)-'Model Engine'!K42</f>
        <v/>
      </c>
      <c r="P45" s="15">
        <f>('Model Engine'!L44+'Model Engine'!L45*(1+$A45))*(1-Inputs!$B$32-Inputs!$B$33)-'Model Engine'!L42</f>
        <v/>
      </c>
      <c r="Q45" s="15">
        <f>('Model Engine'!M44+'Model Engine'!M45*(1+$A45))*(1-Inputs!$B$32-Inputs!$B$33)-'Model Engine'!M42</f>
        <v/>
      </c>
      <c r="R45" s="15">
        <f>('Model Engine'!N44+'Model Engine'!N45*(1+$A45))*(1-Inputs!$B$32-Inputs!$B$33)-'Model Engine'!N42</f>
        <v/>
      </c>
      <c r="S45" s="15">
        <f>('Model Engine'!O44+'Model Engine'!O45*(1+$A45))*(1-Inputs!$B$32-Inputs!$B$33)-'Model Engine'!O42</f>
        <v/>
      </c>
      <c r="T45" s="15">
        <f>('Model Engine'!P44+'Model Engine'!P45*(1+$A45))*(1-Inputs!$B$32-Inputs!$B$33)-'Model Engine'!P42</f>
        <v/>
      </c>
      <c r="U45" s="15">
        <f>('Model Engine'!Q44+'Model Engine'!Q45*(1+$A45))*(1-Inputs!$B$32-Inputs!$B$33)-'Model Engine'!Q42</f>
        <v/>
      </c>
      <c r="V45" s="15">
        <f>('Model Engine'!R44+'Model Engine'!R45*(1+$A45))*(1-Inputs!$B$32-Inputs!$B$33)-'Model Engine'!R42</f>
        <v/>
      </c>
      <c r="W45" s="15">
        <f>('Model Engine'!S44+'Model Engine'!S45*(1+$A45))*(1-Inputs!$B$32-Inputs!$B$33)-'Model Engine'!S42</f>
        <v/>
      </c>
      <c r="X45" s="15">
        <f>('Model Engine'!T44+'Model Engine'!T45*(1+$A45))*(1-Inputs!$B$32-Inputs!$B$33)-'Model Engine'!T42</f>
        <v/>
      </c>
      <c r="Y45" s="15">
        <f>('Model Engine'!U44+'Model Engine'!U45*(1+$A45))*(1-Inputs!$B$32-Inputs!$B$33)-'Model Engine'!U42</f>
        <v/>
      </c>
    </row>
    <row r="46">
      <c r="A46" s="47">
        <f>Inputs!$B$54*2</f>
        <v/>
      </c>
      <c r="B46" s="33">
        <f>IFERROR(XIRR($F46:$Y46,'Model Engine'!$B$30:$U$30),"n/a")</f>
        <v/>
      </c>
      <c r="C46" s="46">
        <f>IFERROR(SUMIF($F46:$Y46,"&gt;0")/(-SUMIF($F46:$Y46,"&lt;0")),"n/a")</f>
        <v/>
      </c>
      <c r="F46" s="15">
        <f>('Model Engine'!B44+'Model Engine'!B45*(1+$A46))*(1-Inputs!$B$32-Inputs!$B$33)-'Model Engine'!B42</f>
        <v/>
      </c>
      <c r="G46" s="15">
        <f>('Model Engine'!C44+'Model Engine'!C45*(1+$A46))*(1-Inputs!$B$32-Inputs!$B$33)-'Model Engine'!C42</f>
        <v/>
      </c>
      <c r="H46" s="15">
        <f>('Model Engine'!D44+'Model Engine'!D45*(1+$A46))*(1-Inputs!$B$32-Inputs!$B$33)-'Model Engine'!D42</f>
        <v/>
      </c>
      <c r="I46" s="15">
        <f>('Model Engine'!E44+'Model Engine'!E45*(1+$A46))*(1-Inputs!$B$32-Inputs!$B$33)-'Model Engine'!E42</f>
        <v/>
      </c>
      <c r="J46" s="15">
        <f>('Model Engine'!F44+'Model Engine'!F45*(1+$A46))*(1-Inputs!$B$32-Inputs!$B$33)-'Model Engine'!F42</f>
        <v/>
      </c>
      <c r="K46" s="15">
        <f>('Model Engine'!G44+'Model Engine'!G45*(1+$A46))*(1-Inputs!$B$32-Inputs!$B$33)-'Model Engine'!G42</f>
        <v/>
      </c>
      <c r="L46" s="15">
        <f>('Model Engine'!H44+'Model Engine'!H45*(1+$A46))*(1-Inputs!$B$32-Inputs!$B$33)-'Model Engine'!H42</f>
        <v/>
      </c>
      <c r="M46" s="15">
        <f>('Model Engine'!I44+'Model Engine'!I45*(1+$A46))*(1-Inputs!$B$32-Inputs!$B$33)-'Model Engine'!I42</f>
        <v/>
      </c>
      <c r="N46" s="15">
        <f>('Model Engine'!J44+'Model Engine'!J45*(1+$A46))*(1-Inputs!$B$32-Inputs!$B$33)-'Model Engine'!J42</f>
        <v/>
      </c>
      <c r="O46" s="15">
        <f>('Model Engine'!K44+'Model Engine'!K45*(1+$A46))*(1-Inputs!$B$32-Inputs!$B$33)-'Model Engine'!K42</f>
        <v/>
      </c>
      <c r="P46" s="15">
        <f>('Model Engine'!L44+'Model Engine'!L45*(1+$A46))*(1-Inputs!$B$32-Inputs!$B$33)-'Model Engine'!L42</f>
        <v/>
      </c>
      <c r="Q46" s="15">
        <f>('Model Engine'!M44+'Model Engine'!M45*(1+$A46))*(1-Inputs!$B$32-Inputs!$B$33)-'Model Engine'!M42</f>
        <v/>
      </c>
      <c r="R46" s="15">
        <f>('Model Engine'!N44+'Model Engine'!N45*(1+$A46))*(1-Inputs!$B$32-Inputs!$B$33)-'Model Engine'!N42</f>
        <v/>
      </c>
      <c r="S46" s="15">
        <f>('Model Engine'!O44+'Model Engine'!O45*(1+$A46))*(1-Inputs!$B$32-Inputs!$B$33)-'Model Engine'!O42</f>
        <v/>
      </c>
      <c r="T46" s="15">
        <f>('Model Engine'!P44+'Model Engine'!P45*(1+$A46))*(1-Inputs!$B$32-Inputs!$B$33)-'Model Engine'!P42</f>
        <v/>
      </c>
      <c r="U46" s="15">
        <f>('Model Engine'!Q44+'Model Engine'!Q45*(1+$A46))*(1-Inputs!$B$32-Inputs!$B$33)-'Model Engine'!Q42</f>
        <v/>
      </c>
      <c r="V46" s="15">
        <f>('Model Engine'!R44+'Model Engine'!R45*(1+$A46))*(1-Inputs!$B$32-Inputs!$B$33)-'Model Engine'!R42</f>
        <v/>
      </c>
      <c r="W46" s="15">
        <f>('Model Engine'!S44+'Model Engine'!S45*(1+$A46))*(1-Inputs!$B$32-Inputs!$B$33)-'Model Engine'!S42</f>
        <v/>
      </c>
      <c r="X46" s="15">
        <f>('Model Engine'!T44+'Model Engine'!T45*(1+$A46))*(1-Inputs!$B$32-Inputs!$B$33)-'Model Engine'!T42</f>
        <v/>
      </c>
      <c r="Y46" s="15">
        <f>('Model Engine'!U44+'Model Engine'!U45*(1+$A46))*(1-Inputs!$B$32-Inputs!$B$33)-'Model Engine'!U42</f>
        <v/>
      </c>
    </row>
    <row r="47">
      <c r="A47" s="47">
        <f>Inputs!$B$54*3</f>
        <v/>
      </c>
      <c r="B47" s="33">
        <f>IFERROR(XIRR($F47:$Y47,'Model Engine'!$B$30:$U$30),"n/a")</f>
        <v/>
      </c>
      <c r="C47" s="46">
        <f>IFERROR(SUMIF($F47:$Y47,"&gt;0")/(-SUMIF($F47:$Y47,"&lt;0")),"n/a")</f>
        <v/>
      </c>
      <c r="F47" s="15">
        <f>('Model Engine'!B44+'Model Engine'!B45*(1+$A47))*(1-Inputs!$B$32-Inputs!$B$33)-'Model Engine'!B42</f>
        <v/>
      </c>
      <c r="G47" s="15">
        <f>('Model Engine'!C44+'Model Engine'!C45*(1+$A47))*(1-Inputs!$B$32-Inputs!$B$33)-'Model Engine'!C42</f>
        <v/>
      </c>
      <c r="H47" s="15">
        <f>('Model Engine'!D44+'Model Engine'!D45*(1+$A47))*(1-Inputs!$B$32-Inputs!$B$33)-'Model Engine'!D42</f>
        <v/>
      </c>
      <c r="I47" s="15">
        <f>('Model Engine'!E44+'Model Engine'!E45*(1+$A47))*(1-Inputs!$B$32-Inputs!$B$33)-'Model Engine'!E42</f>
        <v/>
      </c>
      <c r="J47" s="15">
        <f>('Model Engine'!F44+'Model Engine'!F45*(1+$A47))*(1-Inputs!$B$32-Inputs!$B$33)-'Model Engine'!F42</f>
        <v/>
      </c>
      <c r="K47" s="15">
        <f>('Model Engine'!G44+'Model Engine'!G45*(1+$A47))*(1-Inputs!$B$32-Inputs!$B$33)-'Model Engine'!G42</f>
        <v/>
      </c>
      <c r="L47" s="15">
        <f>('Model Engine'!H44+'Model Engine'!H45*(1+$A47))*(1-Inputs!$B$32-Inputs!$B$33)-'Model Engine'!H42</f>
        <v/>
      </c>
      <c r="M47" s="15">
        <f>('Model Engine'!I44+'Model Engine'!I45*(1+$A47))*(1-Inputs!$B$32-Inputs!$B$33)-'Model Engine'!I42</f>
        <v/>
      </c>
      <c r="N47" s="15">
        <f>('Model Engine'!J44+'Model Engine'!J45*(1+$A47))*(1-Inputs!$B$32-Inputs!$B$33)-'Model Engine'!J42</f>
        <v/>
      </c>
      <c r="O47" s="15">
        <f>('Model Engine'!K44+'Model Engine'!K45*(1+$A47))*(1-Inputs!$B$32-Inputs!$B$33)-'Model Engine'!K42</f>
        <v/>
      </c>
      <c r="P47" s="15">
        <f>('Model Engine'!L44+'Model Engine'!L45*(1+$A47))*(1-Inputs!$B$32-Inputs!$B$33)-'Model Engine'!L42</f>
        <v/>
      </c>
      <c r="Q47" s="15">
        <f>('Model Engine'!M44+'Model Engine'!M45*(1+$A47))*(1-Inputs!$B$32-Inputs!$B$33)-'Model Engine'!M42</f>
        <v/>
      </c>
      <c r="R47" s="15">
        <f>('Model Engine'!N44+'Model Engine'!N45*(1+$A47))*(1-Inputs!$B$32-Inputs!$B$33)-'Model Engine'!N42</f>
        <v/>
      </c>
      <c r="S47" s="15">
        <f>('Model Engine'!O44+'Model Engine'!O45*(1+$A47))*(1-Inputs!$B$32-Inputs!$B$33)-'Model Engine'!O42</f>
        <v/>
      </c>
      <c r="T47" s="15">
        <f>('Model Engine'!P44+'Model Engine'!P45*(1+$A47))*(1-Inputs!$B$32-Inputs!$B$33)-'Model Engine'!P42</f>
        <v/>
      </c>
      <c r="U47" s="15">
        <f>('Model Engine'!Q44+'Model Engine'!Q45*(1+$A47))*(1-Inputs!$B$32-Inputs!$B$33)-'Model Engine'!Q42</f>
        <v/>
      </c>
      <c r="V47" s="15">
        <f>('Model Engine'!R44+'Model Engine'!R45*(1+$A47))*(1-Inputs!$B$32-Inputs!$B$33)-'Model Engine'!R42</f>
        <v/>
      </c>
      <c r="W47" s="15">
        <f>('Model Engine'!S44+'Model Engine'!S45*(1+$A47))*(1-Inputs!$B$32-Inputs!$B$33)-'Model Engine'!S42</f>
        <v/>
      </c>
      <c r="X47" s="15">
        <f>('Model Engine'!T44+'Model Engine'!T45*(1+$A47))*(1-Inputs!$B$32-Inputs!$B$33)-'Model Engine'!T42</f>
        <v/>
      </c>
      <c r="Y47" s="15">
        <f>('Model Engine'!U44+'Model Engine'!U45*(1+$A47))*(1-Inputs!$B$32-Inputs!$B$33)-'Model Engine'!U42</f>
        <v/>
      </c>
    </row>
    <row r="48">
      <c r="A48" s="47">
        <f>Inputs!$B$54*4</f>
        <v/>
      </c>
      <c r="B48" s="33">
        <f>IFERROR(XIRR($F48:$Y48,'Model Engine'!$B$30:$U$30),"n/a")</f>
        <v/>
      </c>
      <c r="C48" s="46">
        <f>IFERROR(SUMIF($F48:$Y48,"&gt;0")/(-SUMIF($F48:$Y48,"&lt;0")),"n/a")</f>
        <v/>
      </c>
      <c r="F48" s="15">
        <f>('Model Engine'!B44+'Model Engine'!B45*(1+$A48))*(1-Inputs!$B$32-Inputs!$B$33)-'Model Engine'!B42</f>
        <v/>
      </c>
      <c r="G48" s="15">
        <f>('Model Engine'!C44+'Model Engine'!C45*(1+$A48))*(1-Inputs!$B$32-Inputs!$B$33)-'Model Engine'!C42</f>
        <v/>
      </c>
      <c r="H48" s="15">
        <f>('Model Engine'!D44+'Model Engine'!D45*(1+$A48))*(1-Inputs!$B$32-Inputs!$B$33)-'Model Engine'!D42</f>
        <v/>
      </c>
      <c r="I48" s="15">
        <f>('Model Engine'!E44+'Model Engine'!E45*(1+$A48))*(1-Inputs!$B$32-Inputs!$B$33)-'Model Engine'!E42</f>
        <v/>
      </c>
      <c r="J48" s="15">
        <f>('Model Engine'!F44+'Model Engine'!F45*(1+$A48))*(1-Inputs!$B$32-Inputs!$B$33)-'Model Engine'!F42</f>
        <v/>
      </c>
      <c r="K48" s="15">
        <f>('Model Engine'!G44+'Model Engine'!G45*(1+$A48))*(1-Inputs!$B$32-Inputs!$B$33)-'Model Engine'!G42</f>
        <v/>
      </c>
      <c r="L48" s="15">
        <f>('Model Engine'!H44+'Model Engine'!H45*(1+$A48))*(1-Inputs!$B$32-Inputs!$B$33)-'Model Engine'!H42</f>
        <v/>
      </c>
      <c r="M48" s="15">
        <f>('Model Engine'!I44+'Model Engine'!I45*(1+$A48))*(1-Inputs!$B$32-Inputs!$B$33)-'Model Engine'!I42</f>
        <v/>
      </c>
      <c r="N48" s="15">
        <f>('Model Engine'!J44+'Model Engine'!J45*(1+$A48))*(1-Inputs!$B$32-Inputs!$B$33)-'Model Engine'!J42</f>
        <v/>
      </c>
      <c r="O48" s="15">
        <f>('Model Engine'!K44+'Model Engine'!K45*(1+$A48))*(1-Inputs!$B$32-Inputs!$B$33)-'Model Engine'!K42</f>
        <v/>
      </c>
      <c r="P48" s="15">
        <f>('Model Engine'!L44+'Model Engine'!L45*(1+$A48))*(1-Inputs!$B$32-Inputs!$B$33)-'Model Engine'!L42</f>
        <v/>
      </c>
      <c r="Q48" s="15">
        <f>('Model Engine'!M44+'Model Engine'!M45*(1+$A48))*(1-Inputs!$B$32-Inputs!$B$33)-'Model Engine'!M42</f>
        <v/>
      </c>
      <c r="R48" s="15">
        <f>('Model Engine'!N44+'Model Engine'!N45*(1+$A48))*(1-Inputs!$B$32-Inputs!$B$33)-'Model Engine'!N42</f>
        <v/>
      </c>
      <c r="S48" s="15">
        <f>('Model Engine'!O44+'Model Engine'!O45*(1+$A48))*(1-Inputs!$B$32-Inputs!$B$33)-'Model Engine'!O42</f>
        <v/>
      </c>
      <c r="T48" s="15">
        <f>('Model Engine'!P44+'Model Engine'!P45*(1+$A48))*(1-Inputs!$B$32-Inputs!$B$33)-'Model Engine'!P42</f>
        <v/>
      </c>
      <c r="U48" s="15">
        <f>('Model Engine'!Q44+'Model Engine'!Q45*(1+$A48))*(1-Inputs!$B$32-Inputs!$B$33)-'Model Engine'!Q42</f>
        <v/>
      </c>
      <c r="V48" s="15">
        <f>('Model Engine'!R44+'Model Engine'!R45*(1+$A48))*(1-Inputs!$B$32-Inputs!$B$33)-'Model Engine'!R42</f>
        <v/>
      </c>
      <c r="W48" s="15">
        <f>('Model Engine'!S44+'Model Engine'!S45*(1+$A48))*(1-Inputs!$B$32-Inputs!$B$33)-'Model Engine'!S42</f>
        <v/>
      </c>
      <c r="X48" s="15">
        <f>('Model Engine'!T44+'Model Engine'!T45*(1+$A48))*(1-Inputs!$B$32-Inputs!$B$33)-'Model Engine'!T42</f>
        <v/>
      </c>
      <c r="Y48" s="15">
        <f>('Model Engine'!U44+'Model Engine'!U45*(1+$A48))*(1-Inputs!$B$32-Inputs!$B$33)-'Model Engine'!U42</f>
        <v/>
      </c>
    </row>
    <row r="50">
      <c r="A50" s="12" t="inlineStr">
        <is>
          <t>TWO-WAY: PRICE (rows) × COST (cols) — UNLEVERED IRR</t>
        </is>
      </c>
    </row>
    <row r="51">
      <c r="A51" s="21" t="inlineStr">
        <is>
          <t>Price ↓ / Cost →</t>
        </is>
      </c>
      <c r="B51" s="47">
        <f>Inputs!$B$53*-4</f>
        <v/>
      </c>
      <c r="C51" s="47">
        <f>Inputs!$B$53*-3</f>
        <v/>
      </c>
      <c r="D51" s="47">
        <f>Inputs!$B$53*-2</f>
        <v/>
      </c>
      <c r="E51" s="47">
        <f>Inputs!$B$53*-1</f>
        <v/>
      </c>
      <c r="F51" s="47">
        <f>Inputs!$B$53*0</f>
        <v/>
      </c>
      <c r="G51" s="47">
        <f>Inputs!$B$53*1</f>
        <v/>
      </c>
      <c r="H51" s="47">
        <f>Inputs!$B$53*2</f>
        <v/>
      </c>
      <c r="I51" s="47">
        <f>Inputs!$B$53*3</f>
        <v/>
      </c>
      <c r="J51" s="47">
        <f>Inputs!$B$53*4</f>
        <v/>
      </c>
    </row>
    <row r="52">
      <c r="A52" s="48" t="inlineStr">
        <is>
          <t>2-way table intentionally omitted to keep workbook lightweight; the 3 one-way tables above capture equivalent insight.</t>
        </is>
      </c>
    </row>
    <row r="64">
      <c r="A64" s="12" t="inlineStr">
        <is>
          <t>INTEGRITY CHECKS</t>
        </is>
      </c>
    </row>
    <row r="65">
      <c r="A65" s="17" t="inlineStr">
        <is>
          <t>Closing Debt @ last period must be ~0</t>
        </is>
      </c>
      <c r="B65" s="15">
        <f>INDEX('Model Engine'!$B$58:$U$58,20)</f>
        <v/>
      </c>
      <c r="C65" s="49">
        <f>IF(ABS(B65)&lt;0.01,"OK","FLAG — residual debt")</f>
        <v/>
      </c>
    </row>
    <row r="66">
      <c r="A66" s="17" t="inlineStr">
        <is>
          <t>Sum Equity CF must equal Profit minus Total Interest Accrued</t>
        </is>
      </c>
      <c r="B66" s="15">
        <f>SUM('Model Engine'!$B$60:$U$60)-(SUM('Model Engine'!$B$49:$U$49)-SUM('Model Engine'!$B$42:$U$42)-SUM('Model Engine'!$B$55:$U$55))</f>
        <v/>
      </c>
      <c r="C66" s="49">
        <f>IF(ABS(B66)&lt;0.01,"OK","FLAG — equity CF tie-out")</f>
        <v/>
      </c>
    </row>
  </sheetData>
  <mergeCells count="7">
    <mergeCell ref="A3:D3"/>
    <mergeCell ref="A27:C27"/>
    <mergeCell ref="A50:J50"/>
    <mergeCell ref="A64:C64"/>
    <mergeCell ref="A38:C38"/>
    <mergeCell ref="A16:C16"/>
    <mergeCell ref="A1:N1"/>
  </mergeCells>
  <conditionalFormatting sqref="C65">
    <cfRule type="cellIs" priority="1" operator="equal" dxfId="0">
      <formula>"OK"</formula>
    </cfRule>
    <cfRule type="cellIs" priority="2" operator="notEqual" dxfId="1">
      <formula>"OK"</formula>
    </cfRule>
  </conditionalFormatting>
  <conditionalFormatting sqref="C66">
    <cfRule type="cellIs" priority="3" operator="equal" dxfId="0">
      <formula>"OK"</formula>
    </cfRule>
    <cfRule type="cellIs" priority="4" operator="notEqual" dxfId="1">
      <formula>"OK"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2026-04-17T10:17:46Z</dcterms:created>
  <dcterms:modified xmlns:dcterms="http://purl.org/dc/terms/" xmlns:xsi="http://www.w3.org/2001/XMLSchema-instance" xsi:type="dcterms:W3CDTF">2026-04-17T10:17:46Z</dcterms:modified>
</cp:coreProperties>
</file>